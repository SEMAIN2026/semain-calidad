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CALIDAD Y METROLOGIA\07 Sharepoint( Rep.ACT,Planeacion,Lab.CALIDAD)\"/>
    </mc:Choice>
  </mc:AlternateContent>
  <xr:revisionPtr revIDLastSave="0" documentId="13_ncr:1_{6529A95A-8590-45DE-A5A2-201EFC18EC94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Resumen" sheetId="1" r:id="rId1"/>
    <sheet name="Lista PV" sheetId="2" r:id="rId2"/>
  </sheets>
  <definedNames>
    <definedName name="_xlnm._FilterDatabase" localSheetId="1" hidden="1">'Lista PV'!$A$1:$P$828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827" i="2" l="1"/>
  <c r="I828" i="2"/>
  <c r="I826" i="2"/>
  <c r="J826" i="2" s="1"/>
  <c r="J22" i="1"/>
  <c r="J21" i="1"/>
  <c r="J20" i="1"/>
  <c r="D13" i="1"/>
  <c r="B2" i="1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J789" i="2" s="1"/>
  <c r="I788" i="2"/>
  <c r="J788" i="2" s="1"/>
  <c r="I787" i="2"/>
  <c r="J787" i="2" s="1"/>
  <c r="I786" i="2"/>
  <c r="J786" i="2" s="1"/>
  <c r="I785" i="2"/>
  <c r="J785" i="2" s="1"/>
  <c r="I784" i="2"/>
  <c r="J784" i="2" s="1"/>
  <c r="I783" i="2"/>
  <c r="J783" i="2" s="1"/>
  <c r="I782" i="2"/>
  <c r="J782" i="2" s="1"/>
  <c r="I781" i="2"/>
  <c r="J781" i="2" s="1"/>
  <c r="I780" i="2"/>
  <c r="J780" i="2" s="1"/>
  <c r="I779" i="2"/>
  <c r="J779" i="2" s="1"/>
  <c r="I778" i="2"/>
  <c r="J778" i="2" s="1"/>
  <c r="I777" i="2"/>
  <c r="J777" i="2" s="1"/>
  <c r="I776" i="2"/>
  <c r="J776" i="2" s="1"/>
  <c r="I775" i="2"/>
  <c r="J775" i="2" s="1"/>
  <c r="I774" i="2"/>
  <c r="J774" i="2" s="1"/>
  <c r="I773" i="2"/>
  <c r="J773" i="2" s="1"/>
  <c r="I772" i="2"/>
  <c r="J772" i="2" s="1"/>
  <c r="I771" i="2"/>
  <c r="J771" i="2" s="1"/>
  <c r="I770" i="2"/>
  <c r="J770" i="2" s="1"/>
  <c r="I769" i="2"/>
  <c r="J769" i="2" s="1"/>
  <c r="I768" i="2"/>
  <c r="J768" i="2" s="1"/>
  <c r="I767" i="2"/>
  <c r="J767" i="2" s="1"/>
  <c r="I766" i="2"/>
  <c r="J766" i="2" s="1"/>
  <c r="I765" i="2"/>
  <c r="J765" i="2" s="1"/>
  <c r="I764" i="2"/>
  <c r="J764" i="2" s="1"/>
  <c r="I763" i="2"/>
  <c r="J763" i="2" s="1"/>
  <c r="I762" i="2"/>
  <c r="J762" i="2" s="1"/>
  <c r="I761" i="2"/>
  <c r="J761" i="2" s="1"/>
  <c r="I760" i="2"/>
  <c r="J760" i="2" s="1"/>
  <c r="I759" i="2"/>
  <c r="J759" i="2" s="1"/>
  <c r="I758" i="2"/>
  <c r="J758" i="2" s="1"/>
  <c r="I757" i="2"/>
  <c r="J757" i="2" s="1"/>
  <c r="I756" i="2"/>
  <c r="J756" i="2" s="1"/>
  <c r="I755" i="2"/>
  <c r="J755" i="2" s="1"/>
  <c r="I754" i="2"/>
  <c r="J754" i="2" s="1"/>
  <c r="I753" i="2"/>
  <c r="J753" i="2" s="1"/>
  <c r="I752" i="2"/>
  <c r="J752" i="2" s="1"/>
  <c r="I751" i="2"/>
  <c r="J751" i="2" s="1"/>
  <c r="I750" i="2"/>
  <c r="J750" i="2" s="1"/>
  <c r="I749" i="2"/>
  <c r="J749" i="2" s="1"/>
  <c r="I748" i="2"/>
  <c r="J748" i="2" s="1"/>
  <c r="I747" i="2"/>
  <c r="J747" i="2" s="1"/>
  <c r="I746" i="2"/>
  <c r="J746" i="2" s="1"/>
  <c r="I745" i="2"/>
  <c r="J745" i="2" s="1"/>
  <c r="I744" i="2"/>
  <c r="J744" i="2" s="1"/>
  <c r="I743" i="2"/>
  <c r="J743" i="2" s="1"/>
  <c r="I742" i="2"/>
  <c r="J742" i="2" s="1"/>
  <c r="I741" i="2"/>
  <c r="J741" i="2" s="1"/>
  <c r="I740" i="2"/>
  <c r="J740" i="2" s="1"/>
  <c r="I739" i="2"/>
  <c r="J739" i="2" s="1"/>
  <c r="I738" i="2"/>
  <c r="J738" i="2" s="1"/>
  <c r="I737" i="2"/>
  <c r="J737" i="2" s="1"/>
  <c r="I736" i="2"/>
  <c r="J736" i="2" s="1"/>
  <c r="I735" i="2"/>
  <c r="J735" i="2" s="1"/>
  <c r="I734" i="2"/>
  <c r="J734" i="2" s="1"/>
  <c r="I733" i="2"/>
  <c r="J733" i="2" s="1"/>
  <c r="I732" i="2"/>
  <c r="J732" i="2" s="1"/>
  <c r="I731" i="2"/>
  <c r="J731" i="2" s="1"/>
  <c r="I730" i="2"/>
  <c r="J730" i="2" s="1"/>
  <c r="I729" i="2"/>
  <c r="J729" i="2" s="1"/>
  <c r="I728" i="2"/>
  <c r="J728" i="2" s="1"/>
  <c r="I727" i="2"/>
  <c r="J727" i="2" s="1"/>
  <c r="I726" i="2"/>
  <c r="J726" i="2" s="1"/>
  <c r="I725" i="2"/>
  <c r="J725" i="2" s="1"/>
  <c r="I724" i="2"/>
  <c r="J724" i="2" s="1"/>
  <c r="I723" i="2"/>
  <c r="J723" i="2" s="1"/>
  <c r="I722" i="2"/>
  <c r="J722" i="2" s="1"/>
  <c r="I721" i="2"/>
  <c r="J721" i="2" s="1"/>
  <c r="I720" i="2"/>
  <c r="J720" i="2" s="1"/>
  <c r="I719" i="2"/>
  <c r="J719" i="2" s="1"/>
  <c r="I718" i="2"/>
  <c r="J718" i="2" s="1"/>
  <c r="I717" i="2"/>
  <c r="J717" i="2" s="1"/>
  <c r="I716" i="2"/>
  <c r="J716" i="2" s="1"/>
  <c r="I715" i="2"/>
  <c r="J715" i="2" s="1"/>
  <c r="I714" i="2"/>
  <c r="J714" i="2" s="1"/>
  <c r="I713" i="2"/>
  <c r="J713" i="2" s="1"/>
  <c r="I712" i="2"/>
  <c r="J712" i="2" s="1"/>
  <c r="I711" i="2"/>
  <c r="J711" i="2" s="1"/>
  <c r="I710" i="2"/>
  <c r="J710" i="2" s="1"/>
  <c r="I709" i="2"/>
  <c r="J709" i="2" s="1"/>
  <c r="I708" i="2"/>
  <c r="J708" i="2" s="1"/>
  <c r="I707" i="2"/>
  <c r="J707" i="2" s="1"/>
  <c r="I706" i="2"/>
  <c r="J706" i="2" s="1"/>
  <c r="I705" i="2"/>
  <c r="J705" i="2" s="1"/>
  <c r="I704" i="2"/>
  <c r="J704" i="2" s="1"/>
  <c r="I703" i="2"/>
  <c r="J703" i="2" s="1"/>
  <c r="I702" i="2"/>
  <c r="J702" i="2" s="1"/>
  <c r="I701" i="2"/>
  <c r="J701" i="2" s="1"/>
  <c r="I700" i="2"/>
  <c r="J700" i="2" s="1"/>
  <c r="I699" i="2"/>
  <c r="J699" i="2" s="1"/>
  <c r="I698" i="2"/>
  <c r="J698" i="2" s="1"/>
  <c r="I697" i="2"/>
  <c r="J697" i="2" s="1"/>
  <c r="I696" i="2"/>
  <c r="J696" i="2" s="1"/>
  <c r="I695" i="2"/>
  <c r="J695" i="2" s="1"/>
  <c r="I694" i="2"/>
  <c r="J694" i="2" s="1"/>
  <c r="I693" i="2"/>
  <c r="J693" i="2" s="1"/>
  <c r="I692" i="2"/>
  <c r="J692" i="2" s="1"/>
  <c r="I691" i="2"/>
  <c r="J691" i="2" s="1"/>
  <c r="I690" i="2"/>
  <c r="J690" i="2" s="1"/>
  <c r="I689" i="2"/>
  <c r="J689" i="2" s="1"/>
  <c r="I688" i="2"/>
  <c r="J688" i="2" s="1"/>
  <c r="I687" i="2"/>
  <c r="J687" i="2" s="1"/>
  <c r="I686" i="2"/>
  <c r="J686" i="2" s="1"/>
  <c r="I685" i="2"/>
  <c r="J685" i="2" s="1"/>
  <c r="I684" i="2"/>
  <c r="J684" i="2" s="1"/>
  <c r="I683" i="2"/>
  <c r="J683" i="2" s="1"/>
  <c r="I682" i="2"/>
  <c r="J682" i="2" s="1"/>
  <c r="I681" i="2"/>
  <c r="J681" i="2" s="1"/>
  <c r="I680" i="2"/>
  <c r="J680" i="2" s="1"/>
  <c r="I679" i="2"/>
  <c r="J679" i="2" s="1"/>
  <c r="I678" i="2"/>
  <c r="J678" i="2" s="1"/>
  <c r="I677" i="2"/>
  <c r="J677" i="2" s="1"/>
  <c r="I676" i="2"/>
  <c r="J676" i="2" s="1"/>
  <c r="I675" i="2"/>
  <c r="J675" i="2" s="1"/>
  <c r="I674" i="2"/>
  <c r="J674" i="2" s="1"/>
  <c r="I673" i="2"/>
  <c r="J673" i="2" s="1"/>
  <c r="I672" i="2"/>
  <c r="J672" i="2" s="1"/>
  <c r="I671" i="2"/>
  <c r="J671" i="2" s="1"/>
  <c r="I670" i="2"/>
  <c r="J670" i="2" s="1"/>
  <c r="I669" i="2"/>
  <c r="J669" i="2" s="1"/>
  <c r="I668" i="2"/>
  <c r="J668" i="2" s="1"/>
  <c r="I667" i="2"/>
  <c r="J667" i="2" s="1"/>
  <c r="I666" i="2"/>
  <c r="J666" i="2" s="1"/>
  <c r="I665" i="2"/>
  <c r="J665" i="2" s="1"/>
  <c r="I664" i="2"/>
  <c r="J664" i="2" s="1"/>
  <c r="I663" i="2"/>
  <c r="J663" i="2" s="1"/>
  <c r="I662" i="2"/>
  <c r="J662" i="2" s="1"/>
  <c r="I661" i="2"/>
  <c r="J661" i="2" s="1"/>
  <c r="I660" i="2"/>
  <c r="J660" i="2" s="1"/>
  <c r="I659" i="2"/>
  <c r="J659" i="2" s="1"/>
  <c r="I658" i="2"/>
  <c r="J658" i="2" s="1"/>
  <c r="I657" i="2"/>
  <c r="J657" i="2" s="1"/>
  <c r="I656" i="2"/>
  <c r="J656" i="2" s="1"/>
  <c r="I655" i="2"/>
  <c r="J655" i="2" s="1"/>
  <c r="I654" i="2"/>
  <c r="J654" i="2" s="1"/>
  <c r="I653" i="2"/>
  <c r="J653" i="2" s="1"/>
  <c r="I652" i="2"/>
  <c r="J652" i="2" s="1"/>
  <c r="I651" i="2"/>
  <c r="J651" i="2" s="1"/>
  <c r="I650" i="2"/>
  <c r="J650" i="2" s="1"/>
  <c r="I649" i="2"/>
  <c r="J649" i="2" s="1"/>
  <c r="I648" i="2"/>
  <c r="J648" i="2" s="1"/>
  <c r="I647" i="2"/>
  <c r="J647" i="2" s="1"/>
  <c r="I646" i="2"/>
  <c r="J646" i="2" s="1"/>
  <c r="I645" i="2"/>
  <c r="J645" i="2" s="1"/>
  <c r="I644" i="2"/>
  <c r="J644" i="2" s="1"/>
  <c r="I643" i="2"/>
  <c r="J643" i="2" s="1"/>
  <c r="I642" i="2"/>
  <c r="J642" i="2" s="1"/>
  <c r="I641" i="2"/>
  <c r="J641" i="2" s="1"/>
  <c r="I640" i="2"/>
  <c r="J640" i="2" s="1"/>
  <c r="I639" i="2"/>
  <c r="J639" i="2" s="1"/>
  <c r="I638" i="2"/>
  <c r="J638" i="2" s="1"/>
  <c r="I637" i="2"/>
  <c r="J637" i="2" s="1"/>
  <c r="I636" i="2"/>
  <c r="J636" i="2" s="1"/>
  <c r="I635" i="2"/>
  <c r="J635" i="2" s="1"/>
  <c r="I634" i="2"/>
  <c r="J634" i="2" s="1"/>
  <c r="I633" i="2"/>
  <c r="J633" i="2" s="1"/>
  <c r="I632" i="2"/>
  <c r="J632" i="2" s="1"/>
  <c r="I631" i="2"/>
  <c r="J631" i="2" s="1"/>
  <c r="I630" i="2"/>
  <c r="J630" i="2" s="1"/>
  <c r="I629" i="2"/>
  <c r="J629" i="2" s="1"/>
  <c r="I628" i="2"/>
  <c r="J628" i="2" s="1"/>
  <c r="I627" i="2"/>
  <c r="J627" i="2" s="1"/>
  <c r="I626" i="2"/>
  <c r="J626" i="2" s="1"/>
  <c r="I625" i="2"/>
  <c r="J625" i="2" s="1"/>
  <c r="I624" i="2"/>
  <c r="J624" i="2" s="1"/>
  <c r="I623" i="2"/>
  <c r="J623" i="2" s="1"/>
  <c r="I622" i="2"/>
  <c r="J622" i="2" s="1"/>
  <c r="I621" i="2"/>
  <c r="J621" i="2" s="1"/>
  <c r="I620" i="2"/>
  <c r="J620" i="2" s="1"/>
  <c r="I619" i="2"/>
  <c r="J619" i="2" s="1"/>
  <c r="I618" i="2"/>
  <c r="J618" i="2" s="1"/>
  <c r="I617" i="2"/>
  <c r="J617" i="2" s="1"/>
  <c r="I616" i="2"/>
  <c r="J616" i="2" s="1"/>
  <c r="I615" i="2"/>
  <c r="J615" i="2" s="1"/>
  <c r="I614" i="2"/>
  <c r="J614" i="2" s="1"/>
  <c r="I613" i="2"/>
  <c r="J613" i="2" s="1"/>
  <c r="I612" i="2"/>
  <c r="J612" i="2" s="1"/>
  <c r="I611" i="2"/>
  <c r="J611" i="2" s="1"/>
  <c r="I610" i="2"/>
  <c r="J610" i="2" s="1"/>
  <c r="I609" i="2"/>
  <c r="J609" i="2" s="1"/>
  <c r="I608" i="2"/>
  <c r="J608" i="2" s="1"/>
  <c r="I607" i="2"/>
  <c r="J607" i="2" s="1"/>
  <c r="I606" i="2"/>
  <c r="J606" i="2" s="1"/>
  <c r="I605" i="2"/>
  <c r="J605" i="2" s="1"/>
  <c r="I604" i="2"/>
  <c r="J604" i="2" s="1"/>
  <c r="I603" i="2"/>
  <c r="J603" i="2" s="1"/>
  <c r="I602" i="2"/>
  <c r="J602" i="2" s="1"/>
  <c r="I601" i="2"/>
  <c r="J601" i="2" s="1"/>
  <c r="I600" i="2"/>
  <c r="J600" i="2" s="1"/>
  <c r="I599" i="2"/>
  <c r="J599" i="2" s="1"/>
  <c r="I598" i="2"/>
  <c r="J598" i="2" s="1"/>
  <c r="I597" i="2"/>
  <c r="J597" i="2" s="1"/>
  <c r="I596" i="2"/>
  <c r="J596" i="2" s="1"/>
  <c r="I595" i="2"/>
  <c r="J595" i="2" s="1"/>
  <c r="I594" i="2"/>
  <c r="J594" i="2" s="1"/>
  <c r="I593" i="2"/>
  <c r="J593" i="2" s="1"/>
  <c r="I592" i="2"/>
  <c r="J592" i="2" s="1"/>
  <c r="I591" i="2"/>
  <c r="J591" i="2" s="1"/>
  <c r="I590" i="2"/>
  <c r="J590" i="2" s="1"/>
  <c r="I589" i="2"/>
  <c r="J589" i="2" s="1"/>
  <c r="I588" i="2"/>
  <c r="J588" i="2" s="1"/>
  <c r="I587" i="2"/>
  <c r="J587" i="2" s="1"/>
  <c r="I586" i="2"/>
  <c r="J586" i="2" s="1"/>
  <c r="I585" i="2"/>
  <c r="J585" i="2" s="1"/>
  <c r="I584" i="2"/>
  <c r="J584" i="2" s="1"/>
  <c r="I583" i="2"/>
  <c r="J583" i="2" s="1"/>
  <c r="I582" i="2"/>
  <c r="J582" i="2" s="1"/>
  <c r="I581" i="2"/>
  <c r="J581" i="2" s="1"/>
  <c r="I580" i="2"/>
  <c r="J580" i="2" s="1"/>
  <c r="I579" i="2"/>
  <c r="J579" i="2" s="1"/>
  <c r="I578" i="2"/>
  <c r="J578" i="2" s="1"/>
  <c r="I577" i="2"/>
  <c r="J577" i="2" s="1"/>
  <c r="I576" i="2"/>
  <c r="J576" i="2" s="1"/>
  <c r="I575" i="2"/>
  <c r="J575" i="2" s="1"/>
  <c r="I574" i="2"/>
  <c r="J574" i="2" s="1"/>
  <c r="I573" i="2"/>
  <c r="J573" i="2" s="1"/>
  <c r="I572" i="2"/>
  <c r="J572" i="2" s="1"/>
  <c r="I571" i="2"/>
  <c r="J571" i="2" s="1"/>
  <c r="I570" i="2"/>
  <c r="J570" i="2" s="1"/>
  <c r="I569" i="2"/>
  <c r="J569" i="2" s="1"/>
  <c r="I568" i="2"/>
  <c r="J568" i="2" s="1"/>
  <c r="I567" i="2"/>
  <c r="J567" i="2" s="1"/>
  <c r="I566" i="2"/>
  <c r="J566" i="2" s="1"/>
  <c r="I565" i="2"/>
  <c r="J565" i="2" s="1"/>
  <c r="I564" i="2"/>
  <c r="J564" i="2" s="1"/>
  <c r="I563" i="2"/>
  <c r="J563" i="2" s="1"/>
  <c r="I562" i="2"/>
  <c r="J562" i="2" s="1"/>
  <c r="I561" i="2"/>
  <c r="J561" i="2" s="1"/>
  <c r="I560" i="2"/>
  <c r="J560" i="2" s="1"/>
  <c r="I559" i="2"/>
  <c r="J559" i="2" s="1"/>
  <c r="I558" i="2"/>
  <c r="J558" i="2" s="1"/>
  <c r="I557" i="2"/>
  <c r="J557" i="2" s="1"/>
  <c r="I556" i="2"/>
  <c r="J556" i="2" s="1"/>
  <c r="I555" i="2"/>
  <c r="J555" i="2" s="1"/>
  <c r="I554" i="2"/>
  <c r="J554" i="2" s="1"/>
  <c r="I553" i="2"/>
  <c r="J553" i="2" s="1"/>
  <c r="I552" i="2"/>
  <c r="J552" i="2" s="1"/>
  <c r="I551" i="2"/>
  <c r="J551" i="2" s="1"/>
  <c r="I550" i="2"/>
  <c r="J550" i="2" s="1"/>
  <c r="I549" i="2"/>
  <c r="J549" i="2" s="1"/>
  <c r="I548" i="2"/>
  <c r="J548" i="2" s="1"/>
  <c r="I547" i="2"/>
  <c r="J547" i="2" s="1"/>
  <c r="I546" i="2"/>
  <c r="J546" i="2" s="1"/>
  <c r="I545" i="2"/>
  <c r="J545" i="2" s="1"/>
  <c r="I544" i="2"/>
  <c r="J544" i="2" s="1"/>
  <c r="I543" i="2"/>
  <c r="J543" i="2" s="1"/>
  <c r="I542" i="2"/>
  <c r="J542" i="2" s="1"/>
  <c r="I541" i="2"/>
  <c r="J541" i="2" s="1"/>
  <c r="I540" i="2"/>
  <c r="J540" i="2" s="1"/>
  <c r="I539" i="2"/>
  <c r="J539" i="2" s="1"/>
  <c r="I538" i="2"/>
  <c r="J538" i="2" s="1"/>
  <c r="I537" i="2"/>
  <c r="J537" i="2" s="1"/>
  <c r="I536" i="2"/>
  <c r="J536" i="2" s="1"/>
  <c r="I535" i="2"/>
  <c r="J535" i="2" s="1"/>
  <c r="I534" i="2"/>
  <c r="J534" i="2" s="1"/>
  <c r="I533" i="2"/>
  <c r="J533" i="2" s="1"/>
  <c r="I532" i="2"/>
  <c r="J532" i="2" s="1"/>
  <c r="I531" i="2"/>
  <c r="J531" i="2" s="1"/>
  <c r="I530" i="2"/>
  <c r="J530" i="2" s="1"/>
  <c r="I529" i="2"/>
  <c r="J529" i="2" s="1"/>
  <c r="I528" i="2"/>
  <c r="J528" i="2" s="1"/>
  <c r="I527" i="2"/>
  <c r="J527" i="2" s="1"/>
  <c r="I526" i="2"/>
  <c r="J526" i="2" s="1"/>
  <c r="I525" i="2"/>
  <c r="J525" i="2" s="1"/>
  <c r="I524" i="2"/>
  <c r="J524" i="2" s="1"/>
  <c r="I523" i="2"/>
  <c r="J523" i="2" s="1"/>
  <c r="I522" i="2"/>
  <c r="J522" i="2" s="1"/>
  <c r="I521" i="2"/>
  <c r="J521" i="2" s="1"/>
  <c r="I520" i="2"/>
  <c r="J520" i="2" s="1"/>
  <c r="I519" i="2"/>
  <c r="J519" i="2" s="1"/>
  <c r="I518" i="2"/>
  <c r="J518" i="2" s="1"/>
  <c r="I517" i="2"/>
  <c r="J517" i="2" s="1"/>
  <c r="I516" i="2"/>
  <c r="J516" i="2" s="1"/>
  <c r="I515" i="2"/>
  <c r="J515" i="2" s="1"/>
  <c r="I514" i="2"/>
  <c r="J514" i="2" s="1"/>
  <c r="I513" i="2"/>
  <c r="J513" i="2" s="1"/>
  <c r="I512" i="2"/>
  <c r="J512" i="2" s="1"/>
  <c r="I511" i="2"/>
  <c r="J511" i="2" s="1"/>
  <c r="I510" i="2"/>
  <c r="J510" i="2" s="1"/>
  <c r="I509" i="2"/>
  <c r="J509" i="2" s="1"/>
  <c r="I508" i="2"/>
  <c r="J508" i="2" s="1"/>
  <c r="I507" i="2"/>
  <c r="J507" i="2" s="1"/>
  <c r="I506" i="2"/>
  <c r="J506" i="2" s="1"/>
  <c r="I505" i="2"/>
  <c r="J505" i="2" s="1"/>
  <c r="I504" i="2"/>
  <c r="J504" i="2" s="1"/>
  <c r="I503" i="2"/>
  <c r="J503" i="2" s="1"/>
  <c r="I502" i="2"/>
  <c r="J502" i="2" s="1"/>
  <c r="I501" i="2"/>
  <c r="J501" i="2" s="1"/>
  <c r="I500" i="2"/>
  <c r="J500" i="2" s="1"/>
  <c r="I499" i="2"/>
  <c r="J499" i="2" s="1"/>
  <c r="I498" i="2"/>
  <c r="J498" i="2" s="1"/>
  <c r="I497" i="2"/>
  <c r="J497" i="2" s="1"/>
  <c r="I496" i="2"/>
  <c r="J496" i="2" s="1"/>
  <c r="I495" i="2"/>
  <c r="J495" i="2" s="1"/>
  <c r="I494" i="2"/>
  <c r="J494" i="2" s="1"/>
  <c r="I493" i="2"/>
  <c r="J493" i="2" s="1"/>
  <c r="I492" i="2"/>
  <c r="J492" i="2" s="1"/>
  <c r="I491" i="2"/>
  <c r="J491" i="2" s="1"/>
  <c r="I490" i="2"/>
  <c r="J490" i="2" s="1"/>
  <c r="I489" i="2"/>
  <c r="J489" i="2" s="1"/>
  <c r="I488" i="2"/>
  <c r="J488" i="2" s="1"/>
  <c r="I487" i="2"/>
  <c r="J487" i="2" s="1"/>
  <c r="I486" i="2"/>
  <c r="J486" i="2" s="1"/>
  <c r="I485" i="2"/>
  <c r="J485" i="2" s="1"/>
  <c r="I484" i="2"/>
  <c r="J484" i="2" s="1"/>
  <c r="I483" i="2"/>
  <c r="J483" i="2" s="1"/>
  <c r="I482" i="2"/>
  <c r="J482" i="2" s="1"/>
  <c r="I481" i="2"/>
  <c r="J481" i="2" s="1"/>
  <c r="I480" i="2"/>
  <c r="J480" i="2" s="1"/>
  <c r="I479" i="2"/>
  <c r="J479" i="2" s="1"/>
  <c r="I478" i="2"/>
  <c r="J478" i="2" s="1"/>
  <c r="I477" i="2"/>
  <c r="J477" i="2" s="1"/>
  <c r="I476" i="2"/>
  <c r="J476" i="2" s="1"/>
  <c r="I475" i="2"/>
  <c r="J475" i="2" s="1"/>
  <c r="I474" i="2"/>
  <c r="J474" i="2" s="1"/>
  <c r="I473" i="2"/>
  <c r="J473" i="2" s="1"/>
  <c r="I472" i="2"/>
  <c r="J472" i="2" s="1"/>
  <c r="I471" i="2"/>
  <c r="J471" i="2" s="1"/>
  <c r="I470" i="2"/>
  <c r="J470" i="2" s="1"/>
  <c r="I469" i="2"/>
  <c r="J469" i="2" s="1"/>
  <c r="I468" i="2"/>
  <c r="J468" i="2" s="1"/>
  <c r="I467" i="2"/>
  <c r="J467" i="2" s="1"/>
  <c r="I466" i="2"/>
  <c r="J466" i="2" s="1"/>
  <c r="I465" i="2"/>
  <c r="J465" i="2" s="1"/>
  <c r="I464" i="2"/>
  <c r="J464" i="2" s="1"/>
  <c r="I463" i="2"/>
  <c r="J463" i="2" s="1"/>
  <c r="I462" i="2"/>
  <c r="J462" i="2" s="1"/>
  <c r="I461" i="2"/>
  <c r="J461" i="2" s="1"/>
  <c r="I460" i="2"/>
  <c r="J460" i="2" s="1"/>
  <c r="I459" i="2"/>
  <c r="J459" i="2" s="1"/>
  <c r="I458" i="2"/>
  <c r="J458" i="2" s="1"/>
  <c r="I457" i="2"/>
  <c r="J457" i="2" s="1"/>
  <c r="I456" i="2"/>
  <c r="J456" i="2" s="1"/>
  <c r="I455" i="2"/>
  <c r="J455" i="2" s="1"/>
  <c r="I454" i="2"/>
  <c r="J454" i="2" s="1"/>
  <c r="I453" i="2"/>
  <c r="J453" i="2" s="1"/>
  <c r="I452" i="2"/>
  <c r="J452" i="2" s="1"/>
  <c r="I451" i="2"/>
  <c r="J451" i="2" s="1"/>
  <c r="I450" i="2"/>
  <c r="J450" i="2" s="1"/>
  <c r="I449" i="2"/>
  <c r="J449" i="2" s="1"/>
  <c r="I448" i="2"/>
  <c r="J448" i="2" s="1"/>
  <c r="I447" i="2"/>
  <c r="J447" i="2" s="1"/>
  <c r="I446" i="2"/>
  <c r="J446" i="2" s="1"/>
  <c r="I445" i="2"/>
  <c r="J445" i="2" s="1"/>
  <c r="I444" i="2"/>
  <c r="J444" i="2" s="1"/>
  <c r="I443" i="2"/>
  <c r="J443" i="2" s="1"/>
  <c r="I442" i="2"/>
  <c r="J442" i="2" s="1"/>
  <c r="I441" i="2"/>
  <c r="J441" i="2" s="1"/>
  <c r="I440" i="2"/>
  <c r="J440" i="2" s="1"/>
  <c r="I439" i="2"/>
  <c r="J439" i="2" s="1"/>
  <c r="I438" i="2"/>
  <c r="J438" i="2" s="1"/>
  <c r="I437" i="2"/>
  <c r="J437" i="2" s="1"/>
  <c r="I436" i="2"/>
  <c r="J436" i="2" s="1"/>
  <c r="I435" i="2"/>
  <c r="J435" i="2" s="1"/>
  <c r="I434" i="2"/>
  <c r="J434" i="2" s="1"/>
  <c r="I433" i="2"/>
  <c r="J433" i="2" s="1"/>
  <c r="I432" i="2"/>
  <c r="J432" i="2" s="1"/>
  <c r="I431" i="2"/>
  <c r="J431" i="2" s="1"/>
  <c r="I430" i="2"/>
  <c r="J430" i="2" s="1"/>
  <c r="I429" i="2"/>
  <c r="J429" i="2" s="1"/>
  <c r="I428" i="2"/>
  <c r="J428" i="2" s="1"/>
  <c r="I427" i="2"/>
  <c r="J427" i="2" s="1"/>
  <c r="I426" i="2"/>
  <c r="J426" i="2" s="1"/>
  <c r="I425" i="2"/>
  <c r="J425" i="2" s="1"/>
  <c r="I424" i="2"/>
  <c r="J424" i="2" s="1"/>
  <c r="I423" i="2"/>
  <c r="J423" i="2" s="1"/>
  <c r="I422" i="2"/>
  <c r="J422" i="2" s="1"/>
  <c r="I421" i="2"/>
  <c r="J421" i="2" s="1"/>
  <c r="I420" i="2"/>
  <c r="J420" i="2" s="1"/>
  <c r="I419" i="2"/>
  <c r="J419" i="2" s="1"/>
  <c r="I418" i="2"/>
  <c r="J418" i="2" s="1"/>
  <c r="I417" i="2"/>
  <c r="J417" i="2" s="1"/>
  <c r="I416" i="2"/>
  <c r="J416" i="2" s="1"/>
  <c r="I415" i="2"/>
  <c r="J415" i="2" s="1"/>
  <c r="I414" i="2"/>
  <c r="J414" i="2" s="1"/>
  <c r="I413" i="2"/>
  <c r="J413" i="2" s="1"/>
  <c r="I412" i="2"/>
  <c r="J412" i="2" s="1"/>
  <c r="I411" i="2"/>
  <c r="J411" i="2" s="1"/>
  <c r="I410" i="2"/>
  <c r="J410" i="2" s="1"/>
  <c r="I409" i="2"/>
  <c r="J409" i="2" s="1"/>
  <c r="I408" i="2"/>
  <c r="J408" i="2" s="1"/>
  <c r="I407" i="2"/>
  <c r="J407" i="2" s="1"/>
  <c r="I406" i="2"/>
  <c r="J406" i="2" s="1"/>
  <c r="I405" i="2"/>
  <c r="J405" i="2" s="1"/>
  <c r="I404" i="2"/>
  <c r="J404" i="2" s="1"/>
  <c r="I403" i="2"/>
  <c r="J403" i="2" s="1"/>
  <c r="I402" i="2"/>
  <c r="J402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M389" i="2"/>
  <c r="I389" i="2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M364" i="2"/>
  <c r="I364" i="2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M121" i="2"/>
  <c r="I121" i="2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M103" i="2"/>
  <c r="I103" i="2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M73" i="2"/>
  <c r="I73" i="2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M59" i="2"/>
  <c r="I59" i="2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M44" i="2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  <c r="I5" i="2"/>
  <c r="J5" i="2" s="1"/>
  <c r="I4" i="2"/>
  <c r="J4" i="2" s="1"/>
  <c r="I3" i="2"/>
  <c r="J3" i="2" s="1"/>
  <c r="I2" i="2"/>
  <c r="J2" i="2" s="1"/>
  <c r="M827" i="2" l="1"/>
  <c r="J827" i="2"/>
  <c r="M828" i="2"/>
  <c r="J828" i="2"/>
  <c r="K826" i="2"/>
  <c r="K825" i="2"/>
  <c r="J825" i="2"/>
  <c r="K824" i="2"/>
  <c r="J824" i="2"/>
  <c r="K823" i="2"/>
  <c r="J823" i="2"/>
  <c r="J822" i="2"/>
  <c r="K822" i="2"/>
  <c r="J821" i="2"/>
  <c r="K821" i="2"/>
  <c r="J820" i="2"/>
  <c r="K820" i="2"/>
  <c r="J819" i="2"/>
  <c r="K819" i="2"/>
  <c r="J818" i="2"/>
  <c r="K818" i="2"/>
  <c r="J817" i="2"/>
  <c r="K817" i="2"/>
  <c r="J816" i="2"/>
  <c r="K816" i="2"/>
  <c r="J815" i="2"/>
  <c r="K815" i="2"/>
  <c r="J814" i="2"/>
  <c r="K814" i="2"/>
  <c r="J813" i="2"/>
  <c r="K813" i="2"/>
  <c r="J812" i="2"/>
  <c r="K812" i="2"/>
  <c r="J811" i="2"/>
  <c r="K811" i="2"/>
  <c r="J810" i="2"/>
  <c r="K810" i="2"/>
  <c r="K809" i="2"/>
  <c r="J809" i="2"/>
  <c r="K808" i="2"/>
  <c r="J808" i="2"/>
  <c r="J807" i="2"/>
  <c r="K807" i="2"/>
  <c r="K806" i="2"/>
  <c r="J806" i="2"/>
  <c r="J805" i="2"/>
  <c r="K805" i="2"/>
  <c r="J804" i="2"/>
  <c r="K804" i="2"/>
  <c r="J803" i="2"/>
  <c r="K803" i="2"/>
  <c r="J802" i="2"/>
  <c r="K802" i="2"/>
  <c r="J801" i="2"/>
  <c r="K801" i="2"/>
  <c r="J800" i="2"/>
  <c r="K800" i="2"/>
  <c r="J799" i="2"/>
  <c r="K799" i="2"/>
  <c r="J798" i="2"/>
  <c r="K798" i="2"/>
  <c r="J797" i="2"/>
  <c r="K797" i="2"/>
  <c r="J796" i="2"/>
  <c r="K796" i="2"/>
  <c r="K795" i="2"/>
  <c r="J795" i="2"/>
  <c r="J794" i="2"/>
  <c r="K794" i="2"/>
  <c r="J793" i="2"/>
  <c r="K793" i="2"/>
  <c r="J792" i="2"/>
  <c r="K792" i="2"/>
  <c r="J791" i="2"/>
  <c r="K791" i="2"/>
  <c r="K790" i="2"/>
  <c r="J790" i="2"/>
  <c r="K389" i="2"/>
  <c r="J389" i="2"/>
  <c r="K364" i="2"/>
  <c r="J364" i="2"/>
  <c r="K121" i="2"/>
  <c r="J121" i="2"/>
  <c r="K103" i="2"/>
  <c r="J103" i="2"/>
  <c r="K73" i="2"/>
  <c r="J73" i="2"/>
  <c r="K59" i="2"/>
  <c r="J59" i="2"/>
  <c r="M301" i="2"/>
  <c r="K301" i="2"/>
  <c r="M138" i="2"/>
  <c r="K138" i="2"/>
  <c r="K641" i="2"/>
  <c r="M641" i="2"/>
  <c r="M415" i="2"/>
  <c r="K415" i="2"/>
  <c r="M384" i="2"/>
  <c r="K384" i="2"/>
  <c r="M67" i="2"/>
  <c r="K67" i="2"/>
  <c r="M64" i="2"/>
  <c r="K64" i="2"/>
  <c r="M57" i="2"/>
  <c r="K57" i="2"/>
  <c r="M826" i="2"/>
  <c r="M825" i="2"/>
  <c r="M821" i="2"/>
  <c r="M817" i="2"/>
  <c r="M816" i="2"/>
  <c r="M815" i="2"/>
  <c r="M809" i="2"/>
  <c r="M805" i="2"/>
  <c r="M765" i="2"/>
  <c r="K765" i="2"/>
  <c r="M725" i="2"/>
  <c r="K725" i="2"/>
  <c r="M643" i="2"/>
  <c r="K643" i="2"/>
  <c r="M637" i="2"/>
  <c r="K637" i="2"/>
  <c r="K632" i="2"/>
  <c r="M632" i="2"/>
  <c r="M628" i="2"/>
  <c r="K628" i="2"/>
  <c r="M516" i="2"/>
  <c r="K516" i="2"/>
  <c r="M512" i="2"/>
  <c r="K512" i="2"/>
  <c r="K484" i="2"/>
  <c r="M484" i="2"/>
  <c r="K444" i="2"/>
  <c r="M444" i="2"/>
  <c r="M392" i="2"/>
  <c r="K392" i="2"/>
  <c r="M374" i="2"/>
  <c r="K374" i="2"/>
  <c r="K324" i="2"/>
  <c r="M324" i="2"/>
  <c r="M284" i="2"/>
  <c r="K284" i="2"/>
  <c r="K223" i="2"/>
  <c r="M223" i="2"/>
  <c r="M198" i="2"/>
  <c r="K198" i="2"/>
  <c r="M197" i="2"/>
  <c r="K197" i="2"/>
  <c r="M193" i="2"/>
  <c r="K193" i="2"/>
  <c r="M190" i="2"/>
  <c r="K190" i="2"/>
  <c r="K169" i="2"/>
  <c r="M169" i="2"/>
  <c r="M168" i="2"/>
  <c r="K168" i="2"/>
  <c r="K152" i="2"/>
  <c r="M152" i="2"/>
  <c r="M146" i="2"/>
  <c r="K146" i="2"/>
  <c r="M140" i="2"/>
  <c r="K140" i="2"/>
  <c r="M137" i="2"/>
  <c r="K137" i="2"/>
  <c r="M133" i="2"/>
  <c r="K133" i="2"/>
  <c r="M127" i="2"/>
  <c r="K127" i="2"/>
  <c r="K120" i="2"/>
  <c r="M120" i="2"/>
  <c r="M114" i="2"/>
  <c r="K114" i="2"/>
  <c r="M106" i="2"/>
  <c r="K106" i="2"/>
  <c r="M97" i="2"/>
  <c r="K97" i="2"/>
  <c r="K92" i="2"/>
  <c r="M92" i="2"/>
  <c r="M88" i="2"/>
  <c r="K88" i="2"/>
  <c r="K87" i="2"/>
  <c r="M87" i="2"/>
  <c r="M86" i="2"/>
  <c r="K86" i="2"/>
  <c r="M46" i="2"/>
  <c r="K46" i="2"/>
  <c r="M824" i="2"/>
  <c r="M823" i="2"/>
  <c r="M822" i="2"/>
  <c r="M820" i="2"/>
  <c r="M819" i="2"/>
  <c r="M818" i="2"/>
  <c r="M814" i="2"/>
  <c r="M813" i="2"/>
  <c r="M812" i="2"/>
  <c r="M811" i="2"/>
  <c r="M810" i="2"/>
  <c r="M808" i="2"/>
  <c r="M807" i="2"/>
  <c r="M806" i="2"/>
  <c r="B14" i="1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K789" i="2"/>
  <c r="M789" i="2"/>
  <c r="K788" i="2"/>
  <c r="M788" i="2"/>
  <c r="K787" i="2"/>
  <c r="M787" i="2"/>
  <c r="M786" i="2"/>
  <c r="K786" i="2"/>
  <c r="K785" i="2"/>
  <c r="M785" i="2"/>
  <c r="K784" i="2"/>
  <c r="M784" i="2"/>
  <c r="M783" i="2"/>
  <c r="K783" i="2"/>
  <c r="K782" i="2"/>
  <c r="M782" i="2"/>
  <c r="M781" i="2"/>
  <c r="K781" i="2"/>
  <c r="K780" i="2"/>
  <c r="M780" i="2"/>
  <c r="M779" i="2"/>
  <c r="K779" i="2"/>
  <c r="M778" i="2"/>
  <c r="K778" i="2"/>
  <c r="K777" i="2"/>
  <c r="M777" i="2"/>
  <c r="K776" i="2"/>
  <c r="M776" i="2"/>
  <c r="K775" i="2"/>
  <c r="M775" i="2"/>
  <c r="M774" i="2"/>
  <c r="K774" i="2"/>
  <c r="M773" i="2"/>
  <c r="K773" i="2"/>
  <c r="M772" i="2"/>
  <c r="K772" i="2"/>
  <c r="K771" i="2"/>
  <c r="M771" i="2"/>
  <c r="K770" i="2"/>
  <c r="M770" i="2"/>
  <c r="K769" i="2"/>
  <c r="M769" i="2"/>
  <c r="M768" i="2"/>
  <c r="K768" i="2"/>
  <c r="K767" i="2"/>
  <c r="M767" i="2"/>
  <c r="M766" i="2"/>
  <c r="K766" i="2"/>
  <c r="K764" i="2"/>
  <c r="M764" i="2"/>
  <c r="M763" i="2"/>
  <c r="K763" i="2"/>
  <c r="M762" i="2"/>
  <c r="K762" i="2"/>
  <c r="M761" i="2"/>
  <c r="K761" i="2"/>
  <c r="M760" i="2"/>
  <c r="K760" i="2"/>
  <c r="M759" i="2"/>
  <c r="K759" i="2"/>
  <c r="M758" i="2"/>
  <c r="K758" i="2"/>
  <c r="K757" i="2"/>
  <c r="M757" i="2"/>
  <c r="M756" i="2"/>
  <c r="K756" i="2"/>
  <c r="M755" i="2"/>
  <c r="K755" i="2"/>
  <c r="M754" i="2"/>
  <c r="K754" i="2"/>
  <c r="K753" i="2"/>
  <c r="M753" i="2"/>
  <c r="K752" i="2"/>
  <c r="M752" i="2"/>
  <c r="K751" i="2"/>
  <c r="M751" i="2"/>
  <c r="M750" i="2"/>
  <c r="K750" i="2"/>
  <c r="M749" i="2"/>
  <c r="K749" i="2"/>
  <c r="M748" i="2"/>
  <c r="K748" i="2"/>
  <c r="M747" i="2"/>
  <c r="K747" i="2"/>
  <c r="M746" i="2"/>
  <c r="K746" i="2"/>
  <c r="M745" i="2"/>
  <c r="K745" i="2"/>
  <c r="K744" i="2"/>
  <c r="M744" i="2"/>
  <c r="K743" i="2"/>
  <c r="M743" i="2"/>
  <c r="M742" i="2"/>
  <c r="K742" i="2"/>
  <c r="M741" i="2"/>
  <c r="K741" i="2"/>
  <c r="M740" i="2"/>
  <c r="K740" i="2"/>
  <c r="M739" i="2"/>
  <c r="K739" i="2"/>
  <c r="M738" i="2"/>
  <c r="K738" i="2"/>
  <c r="M737" i="2"/>
  <c r="K737" i="2"/>
  <c r="M736" i="2"/>
  <c r="K736" i="2"/>
  <c r="K735" i="2"/>
  <c r="M735" i="2"/>
  <c r="K734" i="2"/>
  <c r="M734" i="2"/>
  <c r="K733" i="2"/>
  <c r="M733" i="2"/>
  <c r="K732" i="2"/>
  <c r="M732" i="2"/>
  <c r="K731" i="2"/>
  <c r="M731" i="2"/>
  <c r="K730" i="2"/>
  <c r="M730" i="2"/>
  <c r="K729" i="2"/>
  <c r="M729" i="2"/>
  <c r="K728" i="2"/>
  <c r="M728" i="2"/>
  <c r="K727" i="2"/>
  <c r="M727" i="2"/>
  <c r="K726" i="2"/>
  <c r="M726" i="2"/>
  <c r="K724" i="2"/>
  <c r="M724" i="2"/>
  <c r="K723" i="2"/>
  <c r="M723" i="2"/>
  <c r="M722" i="2"/>
  <c r="K722" i="2"/>
  <c r="M721" i="2"/>
  <c r="K721" i="2"/>
  <c r="M720" i="2"/>
  <c r="K720" i="2"/>
  <c r="K719" i="2"/>
  <c r="M719" i="2"/>
  <c r="M718" i="2"/>
  <c r="K718" i="2"/>
  <c r="M717" i="2"/>
  <c r="K717" i="2"/>
  <c r="K716" i="2"/>
  <c r="M716" i="2"/>
  <c r="K715" i="2"/>
  <c r="M715" i="2"/>
  <c r="M714" i="2"/>
  <c r="K714" i="2"/>
  <c r="M713" i="2"/>
  <c r="K713" i="2"/>
  <c r="K712" i="2"/>
  <c r="M712" i="2"/>
  <c r="K711" i="2"/>
  <c r="M711" i="2"/>
  <c r="M710" i="2"/>
  <c r="K710" i="2"/>
  <c r="M709" i="2"/>
  <c r="K709" i="2"/>
  <c r="M708" i="2"/>
  <c r="K708" i="2"/>
  <c r="M707" i="2"/>
  <c r="K707" i="2"/>
  <c r="M706" i="2"/>
  <c r="K706" i="2"/>
  <c r="M705" i="2"/>
  <c r="K705" i="2"/>
  <c r="M704" i="2"/>
  <c r="K704" i="2"/>
  <c r="M703" i="2"/>
  <c r="K703" i="2"/>
  <c r="M702" i="2"/>
  <c r="K702" i="2"/>
  <c r="M701" i="2"/>
  <c r="K701" i="2"/>
  <c r="K700" i="2"/>
  <c r="M700" i="2"/>
  <c r="K699" i="2"/>
  <c r="M699" i="2"/>
  <c r="K698" i="2"/>
  <c r="M698" i="2"/>
  <c r="M697" i="2"/>
  <c r="K697" i="2"/>
  <c r="M696" i="2"/>
  <c r="K696" i="2"/>
  <c r="M695" i="2"/>
  <c r="K695" i="2"/>
  <c r="M694" i="2"/>
  <c r="K694" i="2"/>
  <c r="K693" i="2"/>
  <c r="M693" i="2"/>
  <c r="K692" i="2"/>
  <c r="M692" i="2"/>
  <c r="K691" i="2"/>
  <c r="M691" i="2"/>
  <c r="K690" i="2"/>
  <c r="M690" i="2"/>
  <c r="K689" i="2"/>
  <c r="M689" i="2"/>
  <c r="M688" i="2"/>
  <c r="K688" i="2"/>
  <c r="M687" i="2"/>
  <c r="K687" i="2"/>
  <c r="K686" i="2"/>
  <c r="M686" i="2"/>
  <c r="K685" i="2"/>
  <c r="M685" i="2"/>
  <c r="M684" i="2"/>
  <c r="K684" i="2"/>
  <c r="M683" i="2"/>
  <c r="K683" i="2"/>
  <c r="K682" i="2"/>
  <c r="M682" i="2"/>
  <c r="K681" i="2"/>
  <c r="M681" i="2"/>
  <c r="K680" i="2"/>
  <c r="M680" i="2"/>
  <c r="K679" i="2"/>
  <c r="M679" i="2"/>
  <c r="K678" i="2"/>
  <c r="M678" i="2"/>
  <c r="K677" i="2"/>
  <c r="M677" i="2"/>
  <c r="M676" i="2"/>
  <c r="K676" i="2"/>
  <c r="K675" i="2"/>
  <c r="M675" i="2"/>
  <c r="M674" i="2"/>
  <c r="K674" i="2"/>
  <c r="K673" i="2"/>
  <c r="M673" i="2"/>
  <c r="K672" i="2"/>
  <c r="M672" i="2"/>
  <c r="K671" i="2"/>
  <c r="M671" i="2"/>
  <c r="M670" i="2"/>
  <c r="K670" i="2"/>
  <c r="K669" i="2"/>
  <c r="M669" i="2"/>
  <c r="M668" i="2"/>
  <c r="K668" i="2"/>
  <c r="K667" i="2"/>
  <c r="M667" i="2"/>
  <c r="K666" i="2"/>
  <c r="M666" i="2"/>
  <c r="K665" i="2"/>
  <c r="M665" i="2"/>
  <c r="K664" i="2"/>
  <c r="M664" i="2"/>
  <c r="M663" i="2"/>
  <c r="K663" i="2"/>
  <c r="M662" i="2"/>
  <c r="K662" i="2"/>
  <c r="K661" i="2"/>
  <c r="M661" i="2"/>
  <c r="K660" i="2"/>
  <c r="M660" i="2"/>
  <c r="K659" i="2"/>
  <c r="M659" i="2"/>
  <c r="M658" i="2"/>
  <c r="K658" i="2"/>
  <c r="M657" i="2"/>
  <c r="K657" i="2"/>
  <c r="K656" i="2"/>
  <c r="M656" i="2"/>
  <c r="K655" i="2"/>
  <c r="M655" i="2"/>
  <c r="M654" i="2"/>
  <c r="K654" i="2"/>
  <c r="K653" i="2"/>
  <c r="M653" i="2"/>
  <c r="M652" i="2"/>
  <c r="K652" i="2"/>
  <c r="M651" i="2"/>
  <c r="K651" i="2"/>
  <c r="M650" i="2"/>
  <c r="K650" i="2"/>
  <c r="M649" i="2"/>
  <c r="K649" i="2"/>
  <c r="M648" i="2"/>
  <c r="K648" i="2"/>
  <c r="K647" i="2"/>
  <c r="M647" i="2"/>
  <c r="M646" i="2"/>
  <c r="K646" i="2"/>
  <c r="K645" i="2"/>
  <c r="M645" i="2"/>
  <c r="K644" i="2"/>
  <c r="M644" i="2"/>
  <c r="K642" i="2"/>
  <c r="M642" i="2"/>
  <c r="K640" i="2"/>
  <c r="M640" i="2"/>
  <c r="M639" i="2"/>
  <c r="K639" i="2"/>
  <c r="M638" i="2"/>
  <c r="K638" i="2"/>
  <c r="M636" i="2"/>
  <c r="K636" i="2"/>
  <c r="K635" i="2"/>
  <c r="M635" i="2"/>
  <c r="M634" i="2"/>
  <c r="K634" i="2"/>
  <c r="M633" i="2"/>
  <c r="K633" i="2"/>
  <c r="K631" i="2"/>
  <c r="M631" i="2"/>
  <c r="M630" i="2"/>
  <c r="K630" i="2"/>
  <c r="K629" i="2"/>
  <c r="M629" i="2"/>
  <c r="M627" i="2"/>
  <c r="K627" i="2"/>
  <c r="M626" i="2"/>
  <c r="K626" i="2"/>
  <c r="K625" i="2"/>
  <c r="M625" i="2"/>
  <c r="K624" i="2"/>
  <c r="M624" i="2"/>
  <c r="K623" i="2"/>
  <c r="M623" i="2"/>
  <c r="M622" i="2"/>
  <c r="K622" i="2"/>
  <c r="M621" i="2"/>
  <c r="K621" i="2"/>
  <c r="K620" i="2"/>
  <c r="M620" i="2"/>
  <c r="M619" i="2"/>
  <c r="K619" i="2"/>
  <c r="M618" i="2"/>
  <c r="K618" i="2"/>
  <c r="M617" i="2"/>
  <c r="K617" i="2"/>
  <c r="M616" i="2"/>
  <c r="K616" i="2"/>
  <c r="K615" i="2"/>
  <c r="M615" i="2"/>
  <c r="K614" i="2"/>
  <c r="M614" i="2"/>
  <c r="K613" i="2"/>
  <c r="M613" i="2"/>
  <c r="M612" i="2"/>
  <c r="K612" i="2"/>
  <c r="M611" i="2"/>
  <c r="K611" i="2"/>
  <c r="K610" i="2"/>
  <c r="M610" i="2"/>
  <c r="M609" i="2"/>
  <c r="K609" i="2"/>
  <c r="M608" i="2"/>
  <c r="K608" i="2"/>
  <c r="M607" i="2"/>
  <c r="K607" i="2"/>
  <c r="M606" i="2"/>
  <c r="K606" i="2"/>
  <c r="M605" i="2"/>
  <c r="K605" i="2"/>
  <c r="K604" i="2"/>
  <c r="M604" i="2"/>
  <c r="K603" i="2"/>
  <c r="M603" i="2"/>
  <c r="K602" i="2"/>
  <c r="M602" i="2"/>
  <c r="K601" i="2"/>
  <c r="M601" i="2"/>
  <c r="M600" i="2"/>
  <c r="K600" i="2"/>
  <c r="K599" i="2"/>
  <c r="M599" i="2"/>
  <c r="M598" i="2"/>
  <c r="K598" i="2"/>
  <c r="K597" i="2"/>
  <c r="M597" i="2"/>
  <c r="K596" i="2"/>
  <c r="M596" i="2"/>
  <c r="K595" i="2"/>
  <c r="M595" i="2"/>
  <c r="M594" i="2"/>
  <c r="K594" i="2"/>
  <c r="M593" i="2"/>
  <c r="K593" i="2"/>
  <c r="K592" i="2"/>
  <c r="M592" i="2"/>
  <c r="K591" i="2"/>
  <c r="M591" i="2"/>
  <c r="K590" i="2"/>
  <c r="M590" i="2"/>
  <c r="K589" i="2"/>
  <c r="M589" i="2"/>
  <c r="K588" i="2"/>
  <c r="M588" i="2"/>
  <c r="M587" i="2"/>
  <c r="K587" i="2"/>
  <c r="K586" i="2"/>
  <c r="M586" i="2"/>
  <c r="M585" i="2"/>
  <c r="K585" i="2"/>
  <c r="K584" i="2"/>
  <c r="M584" i="2"/>
  <c r="K583" i="2"/>
  <c r="M583" i="2"/>
  <c r="K582" i="2"/>
  <c r="M582" i="2"/>
  <c r="M581" i="2"/>
  <c r="K581" i="2"/>
  <c r="M580" i="2"/>
  <c r="K580" i="2"/>
  <c r="M579" i="2"/>
  <c r="K579" i="2"/>
  <c r="K578" i="2"/>
  <c r="M578" i="2"/>
  <c r="K577" i="2"/>
  <c r="M577" i="2"/>
  <c r="K576" i="2"/>
  <c r="M576" i="2"/>
  <c r="M575" i="2"/>
  <c r="K575" i="2"/>
  <c r="M574" i="2"/>
  <c r="K574" i="2"/>
  <c r="K573" i="2"/>
  <c r="M573" i="2"/>
  <c r="K572" i="2"/>
  <c r="M572" i="2"/>
  <c r="K571" i="2"/>
  <c r="M571" i="2"/>
  <c r="M570" i="2"/>
  <c r="K570" i="2"/>
  <c r="K569" i="2"/>
  <c r="M569" i="2"/>
  <c r="K568" i="2"/>
  <c r="M568" i="2"/>
  <c r="K567" i="2"/>
  <c r="M567" i="2"/>
  <c r="K566" i="2"/>
  <c r="M566" i="2"/>
  <c r="M565" i="2"/>
  <c r="K565" i="2"/>
  <c r="K564" i="2"/>
  <c r="M564" i="2"/>
  <c r="K563" i="2"/>
  <c r="M563" i="2"/>
  <c r="K562" i="2"/>
  <c r="M562" i="2"/>
  <c r="M561" i="2"/>
  <c r="K561" i="2"/>
  <c r="M560" i="2"/>
  <c r="K560" i="2"/>
  <c r="K559" i="2"/>
  <c r="M559" i="2"/>
  <c r="M558" i="2"/>
  <c r="K558" i="2"/>
  <c r="K557" i="2"/>
  <c r="M557" i="2"/>
  <c r="M556" i="2"/>
  <c r="K556" i="2"/>
  <c r="M555" i="2"/>
  <c r="K555" i="2"/>
  <c r="M554" i="2"/>
  <c r="K554" i="2"/>
  <c r="M553" i="2"/>
  <c r="K553" i="2"/>
  <c r="M552" i="2"/>
  <c r="K552" i="2"/>
  <c r="K551" i="2"/>
  <c r="M551" i="2"/>
  <c r="M550" i="2"/>
  <c r="K550" i="2"/>
  <c r="M549" i="2"/>
  <c r="K549" i="2"/>
  <c r="M548" i="2"/>
  <c r="K548" i="2"/>
  <c r="M547" i="2"/>
  <c r="K547" i="2"/>
  <c r="K546" i="2"/>
  <c r="M546" i="2"/>
  <c r="K545" i="2"/>
  <c r="M545" i="2"/>
  <c r="M544" i="2"/>
  <c r="K544" i="2"/>
  <c r="M543" i="2"/>
  <c r="K543" i="2"/>
  <c r="M542" i="2"/>
  <c r="K542" i="2"/>
  <c r="K541" i="2"/>
  <c r="M541" i="2"/>
  <c r="K540" i="2"/>
  <c r="M540" i="2"/>
  <c r="K539" i="2"/>
  <c r="M539" i="2"/>
  <c r="K538" i="2"/>
  <c r="M538" i="2"/>
  <c r="M537" i="2"/>
  <c r="K537" i="2"/>
  <c r="K536" i="2"/>
  <c r="M536" i="2"/>
  <c r="K535" i="2"/>
  <c r="M535" i="2"/>
  <c r="K534" i="2"/>
  <c r="M534" i="2"/>
  <c r="M533" i="2"/>
  <c r="K533" i="2"/>
  <c r="K532" i="2"/>
  <c r="M532" i="2"/>
  <c r="K531" i="2"/>
  <c r="M531" i="2"/>
  <c r="K530" i="2"/>
  <c r="M530" i="2"/>
  <c r="M529" i="2"/>
  <c r="K529" i="2"/>
  <c r="K528" i="2"/>
  <c r="M528" i="2"/>
  <c r="K527" i="2"/>
  <c r="M527" i="2"/>
  <c r="K526" i="2"/>
  <c r="M526" i="2"/>
  <c r="M525" i="2"/>
  <c r="K525" i="2"/>
  <c r="K524" i="2"/>
  <c r="M524" i="2"/>
  <c r="M523" i="2"/>
  <c r="K523" i="2"/>
  <c r="K522" i="2"/>
  <c r="M522" i="2"/>
  <c r="M521" i="2"/>
  <c r="K521" i="2"/>
  <c r="M520" i="2"/>
  <c r="K520" i="2"/>
  <c r="K519" i="2"/>
  <c r="M519" i="2"/>
  <c r="M518" i="2"/>
  <c r="K518" i="2"/>
  <c r="M517" i="2"/>
  <c r="K517" i="2"/>
  <c r="K515" i="2"/>
  <c r="M515" i="2"/>
  <c r="K514" i="2"/>
  <c r="M514" i="2"/>
  <c r="M513" i="2"/>
  <c r="K513" i="2"/>
  <c r="M511" i="2"/>
  <c r="K511" i="2"/>
  <c r="M510" i="2"/>
  <c r="K510" i="2"/>
  <c r="M509" i="2"/>
  <c r="K509" i="2"/>
  <c r="M508" i="2"/>
  <c r="K508" i="2"/>
  <c r="M507" i="2"/>
  <c r="K507" i="2"/>
  <c r="M506" i="2"/>
  <c r="K506" i="2"/>
  <c r="K505" i="2"/>
  <c r="M505" i="2"/>
  <c r="K504" i="2"/>
  <c r="M504" i="2"/>
  <c r="K503" i="2"/>
  <c r="M503" i="2"/>
  <c r="K502" i="2"/>
  <c r="M502" i="2"/>
  <c r="M501" i="2"/>
  <c r="K501" i="2"/>
  <c r="M500" i="2"/>
  <c r="K500" i="2"/>
  <c r="K499" i="2"/>
  <c r="M499" i="2"/>
  <c r="M498" i="2"/>
  <c r="K498" i="2"/>
  <c r="M497" i="2"/>
  <c r="K497" i="2"/>
  <c r="K496" i="2"/>
  <c r="M496" i="2"/>
  <c r="K495" i="2"/>
  <c r="M495" i="2"/>
  <c r="M494" i="2"/>
  <c r="K494" i="2"/>
  <c r="M493" i="2"/>
  <c r="K493" i="2"/>
  <c r="M492" i="2"/>
  <c r="K492" i="2"/>
  <c r="M491" i="2"/>
  <c r="K491" i="2"/>
  <c r="K490" i="2"/>
  <c r="M490" i="2"/>
  <c r="M489" i="2"/>
  <c r="K489" i="2"/>
  <c r="K488" i="2"/>
  <c r="M488" i="2"/>
  <c r="M487" i="2"/>
  <c r="K487" i="2"/>
  <c r="M486" i="2"/>
  <c r="K486" i="2"/>
  <c r="K485" i="2"/>
  <c r="M485" i="2"/>
  <c r="K483" i="2"/>
  <c r="M483" i="2"/>
  <c r="M482" i="2"/>
  <c r="K482" i="2"/>
  <c r="K481" i="2"/>
  <c r="M481" i="2"/>
  <c r="M480" i="2"/>
  <c r="K480" i="2"/>
  <c r="K479" i="2"/>
  <c r="M479" i="2"/>
  <c r="K478" i="2"/>
  <c r="M478" i="2"/>
  <c r="K477" i="2"/>
  <c r="M477" i="2"/>
  <c r="K476" i="2"/>
  <c r="M476" i="2"/>
  <c r="K475" i="2"/>
  <c r="M475" i="2"/>
  <c r="M474" i="2"/>
  <c r="K474" i="2"/>
  <c r="K473" i="2"/>
  <c r="M473" i="2"/>
  <c r="M472" i="2"/>
  <c r="K472" i="2"/>
  <c r="M471" i="2"/>
  <c r="K471" i="2"/>
  <c r="K470" i="2"/>
  <c r="M470" i="2"/>
  <c r="M469" i="2"/>
  <c r="K469" i="2"/>
  <c r="M468" i="2"/>
  <c r="K468" i="2"/>
  <c r="M467" i="2"/>
  <c r="K467" i="2"/>
  <c r="M466" i="2"/>
  <c r="K466" i="2"/>
  <c r="M465" i="2"/>
  <c r="K465" i="2"/>
  <c r="M464" i="2"/>
  <c r="K464" i="2"/>
  <c r="M463" i="2"/>
  <c r="K463" i="2"/>
  <c r="K462" i="2"/>
  <c r="M462" i="2"/>
  <c r="M461" i="2"/>
  <c r="K461" i="2"/>
  <c r="M460" i="2"/>
  <c r="K460" i="2"/>
  <c r="K459" i="2"/>
  <c r="M459" i="2"/>
  <c r="K458" i="2"/>
  <c r="M458" i="2"/>
  <c r="M457" i="2"/>
  <c r="K457" i="2"/>
  <c r="K456" i="2"/>
  <c r="M456" i="2"/>
  <c r="M455" i="2"/>
  <c r="K455" i="2"/>
  <c r="M454" i="2"/>
  <c r="K454" i="2"/>
  <c r="K453" i="2"/>
  <c r="M453" i="2"/>
  <c r="M452" i="2"/>
  <c r="K452" i="2"/>
  <c r="K451" i="2"/>
  <c r="M451" i="2"/>
  <c r="K450" i="2"/>
  <c r="M450" i="2"/>
  <c r="K449" i="2"/>
  <c r="M449" i="2"/>
  <c r="M448" i="2"/>
  <c r="K448" i="2"/>
  <c r="K447" i="2"/>
  <c r="M447" i="2"/>
  <c r="M446" i="2"/>
  <c r="K446" i="2"/>
  <c r="K445" i="2"/>
  <c r="M445" i="2"/>
  <c r="K443" i="2"/>
  <c r="M443" i="2"/>
  <c r="M442" i="2"/>
  <c r="K442" i="2"/>
  <c r="M441" i="2"/>
  <c r="K441" i="2"/>
  <c r="M440" i="2"/>
  <c r="K440" i="2"/>
  <c r="K439" i="2"/>
  <c r="M439" i="2"/>
  <c r="M438" i="2"/>
  <c r="K438" i="2"/>
  <c r="K437" i="2"/>
  <c r="M437" i="2"/>
  <c r="K436" i="2"/>
  <c r="M436" i="2"/>
  <c r="M435" i="2"/>
  <c r="K435" i="2"/>
  <c r="M434" i="2"/>
  <c r="K434" i="2"/>
  <c r="M433" i="2"/>
  <c r="K433" i="2"/>
  <c r="K432" i="2"/>
  <c r="M432" i="2"/>
  <c r="K431" i="2"/>
  <c r="M431" i="2"/>
  <c r="K430" i="2"/>
  <c r="M430" i="2"/>
  <c r="K429" i="2"/>
  <c r="M429" i="2"/>
  <c r="K428" i="2"/>
  <c r="M428" i="2"/>
  <c r="K427" i="2"/>
  <c r="M427" i="2"/>
  <c r="K426" i="2"/>
  <c r="M426" i="2"/>
  <c r="M425" i="2"/>
  <c r="K425" i="2"/>
  <c r="M424" i="2"/>
  <c r="K424" i="2"/>
  <c r="K423" i="2"/>
  <c r="M423" i="2"/>
  <c r="K422" i="2"/>
  <c r="M422" i="2"/>
  <c r="M421" i="2"/>
  <c r="K421" i="2"/>
  <c r="K420" i="2"/>
  <c r="M420" i="2"/>
  <c r="M419" i="2"/>
  <c r="K419" i="2"/>
  <c r="M418" i="2"/>
  <c r="K418" i="2"/>
  <c r="K417" i="2"/>
  <c r="M417" i="2"/>
  <c r="K416" i="2"/>
  <c r="M416" i="2"/>
  <c r="K414" i="2"/>
  <c r="M414" i="2"/>
  <c r="M413" i="2"/>
  <c r="K413" i="2"/>
  <c r="K412" i="2"/>
  <c r="M412" i="2"/>
  <c r="K411" i="2"/>
  <c r="M411" i="2"/>
  <c r="K410" i="2"/>
  <c r="M410" i="2"/>
  <c r="K409" i="2"/>
  <c r="M409" i="2"/>
  <c r="K408" i="2"/>
  <c r="M408" i="2"/>
  <c r="K407" i="2"/>
  <c r="M407" i="2"/>
  <c r="M406" i="2"/>
  <c r="K406" i="2"/>
  <c r="K405" i="2"/>
  <c r="M405" i="2"/>
  <c r="K404" i="2"/>
  <c r="M404" i="2"/>
  <c r="M403" i="2"/>
  <c r="K403" i="2"/>
  <c r="K402" i="2"/>
  <c r="M402" i="2"/>
  <c r="M401" i="2"/>
  <c r="K401" i="2"/>
  <c r="M400" i="2"/>
  <c r="K400" i="2"/>
  <c r="M399" i="2"/>
  <c r="K399" i="2"/>
  <c r="M398" i="2"/>
  <c r="K398" i="2"/>
  <c r="M397" i="2"/>
  <c r="K397" i="2"/>
  <c r="K396" i="2"/>
  <c r="M396" i="2"/>
  <c r="K395" i="2"/>
  <c r="M395" i="2"/>
  <c r="M394" i="2"/>
  <c r="K394" i="2"/>
  <c r="M393" i="2"/>
  <c r="K393" i="2"/>
  <c r="K391" i="2"/>
  <c r="M391" i="2"/>
  <c r="M390" i="2"/>
  <c r="K390" i="2"/>
  <c r="M388" i="2"/>
  <c r="K388" i="2"/>
  <c r="M387" i="2"/>
  <c r="K387" i="2"/>
  <c r="K386" i="2"/>
  <c r="M386" i="2"/>
  <c r="K385" i="2"/>
  <c r="M385" i="2"/>
  <c r="M383" i="2"/>
  <c r="K383" i="2"/>
  <c r="M382" i="2"/>
  <c r="K382" i="2"/>
  <c r="K381" i="2"/>
  <c r="M381" i="2"/>
  <c r="M380" i="2"/>
  <c r="K380" i="2"/>
  <c r="M379" i="2"/>
  <c r="K379" i="2"/>
  <c r="M378" i="2"/>
  <c r="K378" i="2"/>
  <c r="M377" i="2"/>
  <c r="K377" i="2"/>
  <c r="K376" i="2"/>
  <c r="M376" i="2"/>
  <c r="K375" i="2"/>
  <c r="M375" i="2"/>
  <c r="M373" i="2"/>
  <c r="K373" i="2"/>
  <c r="K372" i="2"/>
  <c r="M372" i="2"/>
  <c r="K371" i="2"/>
  <c r="M371" i="2"/>
  <c r="M370" i="2"/>
  <c r="K370" i="2"/>
  <c r="M369" i="2"/>
  <c r="K369" i="2"/>
  <c r="K368" i="2"/>
  <c r="M368" i="2"/>
  <c r="K367" i="2"/>
  <c r="M367" i="2"/>
  <c r="K366" i="2"/>
  <c r="M366" i="2"/>
  <c r="K365" i="2"/>
  <c r="M365" i="2"/>
  <c r="K363" i="2"/>
  <c r="M363" i="2"/>
  <c r="K362" i="2"/>
  <c r="M362" i="2"/>
  <c r="M361" i="2"/>
  <c r="K361" i="2"/>
  <c r="M360" i="2"/>
  <c r="K360" i="2"/>
  <c r="M359" i="2"/>
  <c r="K359" i="2"/>
  <c r="K358" i="2"/>
  <c r="M358" i="2"/>
  <c r="K357" i="2"/>
  <c r="M357" i="2"/>
  <c r="K356" i="2"/>
  <c r="M356" i="2"/>
  <c r="M355" i="2"/>
  <c r="K355" i="2"/>
  <c r="K354" i="2"/>
  <c r="M354" i="2"/>
  <c r="K353" i="2"/>
  <c r="M353" i="2"/>
  <c r="M352" i="2"/>
  <c r="K352" i="2"/>
  <c r="M351" i="2"/>
  <c r="K351" i="2"/>
  <c r="M350" i="2"/>
  <c r="K350" i="2"/>
  <c r="M349" i="2"/>
  <c r="K349" i="2"/>
  <c r="K348" i="2"/>
  <c r="M348" i="2"/>
  <c r="K347" i="2"/>
  <c r="M347" i="2"/>
  <c r="M346" i="2"/>
  <c r="K346" i="2"/>
  <c r="K345" i="2"/>
  <c r="M345" i="2"/>
  <c r="K344" i="2"/>
  <c r="M344" i="2"/>
  <c r="K343" i="2"/>
  <c r="M343" i="2"/>
  <c r="M342" i="2"/>
  <c r="K342" i="2"/>
  <c r="K341" i="2"/>
  <c r="M341" i="2"/>
  <c r="M340" i="2"/>
  <c r="K340" i="2"/>
  <c r="K339" i="2"/>
  <c r="M339" i="2"/>
  <c r="M338" i="2"/>
  <c r="K338" i="2"/>
  <c r="M337" i="2"/>
  <c r="K337" i="2"/>
  <c r="M336" i="2"/>
  <c r="K336" i="2"/>
  <c r="M335" i="2"/>
  <c r="K335" i="2"/>
  <c r="M334" i="2"/>
  <c r="K334" i="2"/>
  <c r="M333" i="2"/>
  <c r="K333" i="2"/>
  <c r="K332" i="2"/>
  <c r="M332" i="2"/>
  <c r="K331" i="2"/>
  <c r="M331" i="2"/>
  <c r="M330" i="2"/>
  <c r="K330" i="2"/>
  <c r="M329" i="2"/>
  <c r="K329" i="2"/>
  <c r="M328" i="2"/>
  <c r="K328" i="2"/>
  <c r="M327" i="2"/>
  <c r="K327" i="2"/>
  <c r="K326" i="2"/>
  <c r="M326" i="2"/>
  <c r="M325" i="2"/>
  <c r="K325" i="2"/>
  <c r="M323" i="2"/>
  <c r="K323" i="2"/>
  <c r="M322" i="2"/>
  <c r="K322" i="2"/>
  <c r="K321" i="2"/>
  <c r="M321" i="2"/>
  <c r="K320" i="2"/>
  <c r="M320" i="2"/>
  <c r="M319" i="2"/>
  <c r="K319" i="2"/>
  <c r="M318" i="2"/>
  <c r="K318" i="2"/>
  <c r="M317" i="2"/>
  <c r="K317" i="2"/>
  <c r="M316" i="2"/>
  <c r="K316" i="2"/>
  <c r="M315" i="2"/>
  <c r="K315" i="2"/>
  <c r="K314" i="2"/>
  <c r="M314" i="2"/>
  <c r="M313" i="2"/>
  <c r="K313" i="2"/>
  <c r="M312" i="2"/>
  <c r="K312" i="2"/>
  <c r="M311" i="2"/>
  <c r="K311" i="2"/>
  <c r="K310" i="2"/>
  <c r="M310" i="2"/>
  <c r="M309" i="2"/>
  <c r="K309" i="2"/>
  <c r="M308" i="2"/>
  <c r="K308" i="2"/>
  <c r="M307" i="2"/>
  <c r="K307" i="2"/>
  <c r="M306" i="2"/>
  <c r="K306" i="2"/>
  <c r="M305" i="2"/>
  <c r="K305" i="2"/>
  <c r="K304" i="2"/>
  <c r="M304" i="2"/>
  <c r="K303" i="2"/>
  <c r="M303" i="2"/>
  <c r="K302" i="2"/>
  <c r="M302" i="2"/>
  <c r="M300" i="2"/>
  <c r="K300" i="2"/>
  <c r="M299" i="2"/>
  <c r="K299" i="2"/>
  <c r="K298" i="2"/>
  <c r="M298" i="2"/>
  <c r="K297" i="2"/>
  <c r="M297" i="2"/>
  <c r="K296" i="2"/>
  <c r="M296" i="2"/>
  <c r="M295" i="2"/>
  <c r="K295" i="2"/>
  <c r="K294" i="2"/>
  <c r="M294" i="2"/>
  <c r="M293" i="2"/>
  <c r="K293" i="2"/>
  <c r="K292" i="2"/>
  <c r="M292" i="2"/>
  <c r="K291" i="2"/>
  <c r="M291" i="2"/>
  <c r="K290" i="2"/>
  <c r="M290" i="2"/>
  <c r="M289" i="2"/>
  <c r="K289" i="2"/>
  <c r="M288" i="2"/>
  <c r="K288" i="2"/>
  <c r="K287" i="2"/>
  <c r="M287" i="2"/>
  <c r="M286" i="2"/>
  <c r="K286" i="2"/>
  <c r="M285" i="2"/>
  <c r="K285" i="2"/>
  <c r="K283" i="2"/>
  <c r="M283" i="2"/>
  <c r="K282" i="2"/>
  <c r="M282" i="2"/>
  <c r="K281" i="2"/>
  <c r="M281" i="2"/>
  <c r="M280" i="2"/>
  <c r="K280" i="2"/>
  <c r="K279" i="2"/>
  <c r="M279" i="2"/>
  <c r="K278" i="2"/>
  <c r="M278" i="2"/>
  <c r="K277" i="2"/>
  <c r="M277" i="2"/>
  <c r="K276" i="2"/>
  <c r="M276" i="2"/>
  <c r="M275" i="2"/>
  <c r="K275" i="2"/>
  <c r="K274" i="2"/>
  <c r="M274" i="2"/>
  <c r="K273" i="2"/>
  <c r="M273" i="2"/>
  <c r="K272" i="2"/>
  <c r="M272" i="2"/>
  <c r="M271" i="2"/>
  <c r="K271" i="2"/>
  <c r="K270" i="2"/>
  <c r="M270" i="2"/>
  <c r="K269" i="2"/>
  <c r="M269" i="2"/>
  <c r="K268" i="2"/>
  <c r="M268" i="2"/>
  <c r="K267" i="2"/>
  <c r="M267" i="2"/>
  <c r="M266" i="2"/>
  <c r="K266" i="2"/>
  <c r="M265" i="2"/>
  <c r="K265" i="2"/>
  <c r="M264" i="2"/>
  <c r="K264" i="2"/>
  <c r="K263" i="2"/>
  <c r="M263" i="2"/>
  <c r="K262" i="2"/>
  <c r="M262" i="2"/>
  <c r="K261" i="2"/>
  <c r="M261" i="2"/>
  <c r="K260" i="2"/>
  <c r="M260" i="2"/>
  <c r="K259" i="2"/>
  <c r="M259" i="2"/>
  <c r="K258" i="2"/>
  <c r="M258" i="2"/>
  <c r="M257" i="2"/>
  <c r="K257" i="2"/>
  <c r="M256" i="2"/>
  <c r="K256" i="2"/>
  <c r="M255" i="2"/>
  <c r="K255" i="2"/>
  <c r="M254" i="2"/>
  <c r="K254" i="2"/>
  <c r="M253" i="2"/>
  <c r="K253" i="2"/>
  <c r="M252" i="2"/>
  <c r="K252" i="2"/>
  <c r="M251" i="2"/>
  <c r="K251" i="2"/>
  <c r="M250" i="2"/>
  <c r="K250" i="2"/>
  <c r="K249" i="2"/>
  <c r="M249" i="2"/>
  <c r="K248" i="2"/>
  <c r="M248" i="2"/>
  <c r="M247" i="2"/>
  <c r="K247" i="2"/>
  <c r="K246" i="2"/>
  <c r="M246" i="2"/>
  <c r="K245" i="2"/>
  <c r="M245" i="2"/>
  <c r="K244" i="2"/>
  <c r="M244" i="2"/>
  <c r="K243" i="2"/>
  <c r="M243" i="2"/>
  <c r="M242" i="2"/>
  <c r="K242" i="2"/>
  <c r="M241" i="2"/>
  <c r="K241" i="2"/>
  <c r="M240" i="2"/>
  <c r="K240" i="2"/>
  <c r="K239" i="2"/>
  <c r="M239" i="2"/>
  <c r="M238" i="2"/>
  <c r="K238" i="2"/>
  <c r="M237" i="2"/>
  <c r="K237" i="2"/>
  <c r="K236" i="2"/>
  <c r="M236" i="2"/>
  <c r="M235" i="2"/>
  <c r="K235" i="2"/>
  <c r="M234" i="2"/>
  <c r="K234" i="2"/>
  <c r="M233" i="2"/>
  <c r="K233" i="2"/>
  <c r="M232" i="2"/>
  <c r="K232" i="2"/>
  <c r="K231" i="2"/>
  <c r="M231" i="2"/>
  <c r="M230" i="2"/>
  <c r="K230" i="2"/>
  <c r="M229" i="2"/>
  <c r="K229" i="2"/>
  <c r="M228" i="2"/>
  <c r="K228" i="2"/>
  <c r="K227" i="2"/>
  <c r="M227" i="2"/>
  <c r="K226" i="2"/>
  <c r="M226" i="2"/>
  <c r="M225" i="2"/>
  <c r="K225" i="2"/>
  <c r="K224" i="2"/>
  <c r="M224" i="2"/>
  <c r="K222" i="2"/>
  <c r="M222" i="2"/>
  <c r="M221" i="2"/>
  <c r="K221" i="2"/>
  <c r="K220" i="2"/>
  <c r="M220" i="2"/>
  <c r="M219" i="2"/>
  <c r="K219" i="2"/>
  <c r="K218" i="2"/>
  <c r="M218" i="2"/>
  <c r="M217" i="2"/>
  <c r="K217" i="2"/>
  <c r="M216" i="2"/>
  <c r="K216" i="2"/>
  <c r="M215" i="2"/>
  <c r="K215" i="2"/>
  <c r="M214" i="2"/>
  <c r="K214" i="2"/>
  <c r="M213" i="2"/>
  <c r="K213" i="2"/>
  <c r="M212" i="2"/>
  <c r="K212" i="2"/>
  <c r="M211" i="2"/>
  <c r="K211" i="2"/>
  <c r="M210" i="2"/>
  <c r="K210" i="2"/>
  <c r="M209" i="2"/>
  <c r="K209" i="2"/>
  <c r="K208" i="2"/>
  <c r="M208" i="2"/>
  <c r="K207" i="2"/>
  <c r="M207" i="2"/>
  <c r="K206" i="2"/>
  <c r="M206" i="2"/>
  <c r="K205" i="2"/>
  <c r="M205" i="2"/>
  <c r="K204" i="2"/>
  <c r="M204" i="2"/>
  <c r="K203" i="2"/>
  <c r="M203" i="2"/>
  <c r="K202" i="2"/>
  <c r="M202" i="2"/>
  <c r="K201" i="2"/>
  <c r="M201" i="2"/>
  <c r="K200" i="2"/>
  <c r="M200" i="2"/>
  <c r="M199" i="2"/>
  <c r="K199" i="2"/>
  <c r="K196" i="2"/>
  <c r="M196" i="2"/>
  <c r="K195" i="2"/>
  <c r="M195" i="2"/>
  <c r="M194" i="2"/>
  <c r="K194" i="2"/>
  <c r="K192" i="2"/>
  <c r="M192" i="2"/>
  <c r="M191" i="2"/>
  <c r="K191" i="2"/>
  <c r="M189" i="2"/>
  <c r="K189" i="2"/>
  <c r="K188" i="2"/>
  <c r="M188" i="2"/>
  <c r="M187" i="2"/>
  <c r="K187" i="2"/>
  <c r="M186" i="2"/>
  <c r="K186" i="2"/>
  <c r="K185" i="2"/>
  <c r="M185" i="2"/>
  <c r="M184" i="2"/>
  <c r="K184" i="2"/>
  <c r="M183" i="2"/>
  <c r="K183" i="2"/>
  <c r="M182" i="2"/>
  <c r="K182" i="2"/>
  <c r="K181" i="2"/>
  <c r="M181" i="2"/>
  <c r="K180" i="2"/>
  <c r="M180" i="2"/>
  <c r="M179" i="2"/>
  <c r="K179" i="2"/>
  <c r="M178" i="2"/>
  <c r="K178" i="2"/>
  <c r="K177" i="2"/>
  <c r="M177" i="2"/>
  <c r="K176" i="2"/>
  <c r="M176" i="2"/>
  <c r="K175" i="2"/>
  <c r="M175" i="2"/>
  <c r="M174" i="2"/>
  <c r="K174" i="2"/>
  <c r="M173" i="2"/>
  <c r="K173" i="2"/>
  <c r="M172" i="2"/>
  <c r="K172" i="2"/>
  <c r="K171" i="2"/>
  <c r="M171" i="2"/>
  <c r="M170" i="2"/>
  <c r="K170" i="2"/>
  <c r="M167" i="2"/>
  <c r="K167" i="2"/>
  <c r="K166" i="2"/>
  <c r="M166" i="2"/>
  <c r="K165" i="2"/>
  <c r="M165" i="2"/>
  <c r="M164" i="2"/>
  <c r="K164" i="2"/>
  <c r="K163" i="2"/>
  <c r="M163" i="2"/>
  <c r="M162" i="2"/>
  <c r="K162" i="2"/>
  <c r="K161" i="2"/>
  <c r="M161" i="2"/>
  <c r="M160" i="2"/>
  <c r="K160" i="2"/>
  <c r="K159" i="2"/>
  <c r="M159" i="2"/>
  <c r="M158" i="2"/>
  <c r="K158" i="2"/>
  <c r="K157" i="2"/>
  <c r="M157" i="2"/>
  <c r="K156" i="2"/>
  <c r="M156" i="2"/>
  <c r="M155" i="2"/>
  <c r="K155" i="2"/>
  <c r="M154" i="2"/>
  <c r="K154" i="2"/>
  <c r="M153" i="2"/>
  <c r="K153" i="2"/>
  <c r="K151" i="2"/>
  <c r="M151" i="2"/>
  <c r="M150" i="2"/>
  <c r="K150" i="2"/>
  <c r="M149" i="2"/>
  <c r="K149" i="2"/>
  <c r="K148" i="2"/>
  <c r="M148" i="2"/>
  <c r="K147" i="2"/>
  <c r="M147" i="2"/>
  <c r="M145" i="2"/>
  <c r="K145" i="2"/>
  <c r="M144" i="2"/>
  <c r="K144" i="2"/>
  <c r="M143" i="2"/>
  <c r="K143" i="2"/>
  <c r="K142" i="2"/>
  <c r="M142" i="2"/>
  <c r="K141" i="2"/>
  <c r="M141" i="2"/>
  <c r="M139" i="2"/>
  <c r="K139" i="2"/>
  <c r="M136" i="2"/>
  <c r="K136" i="2"/>
  <c r="M135" i="2"/>
  <c r="K135" i="2"/>
  <c r="M134" i="2"/>
  <c r="K134" i="2"/>
  <c r="M132" i="2"/>
  <c r="K132" i="2"/>
  <c r="K131" i="2"/>
  <c r="M131" i="2"/>
  <c r="M130" i="2"/>
  <c r="K130" i="2"/>
  <c r="K129" i="2"/>
  <c r="M129" i="2"/>
  <c r="K128" i="2"/>
  <c r="M128" i="2"/>
  <c r="M126" i="2"/>
  <c r="K126" i="2"/>
  <c r="K125" i="2"/>
  <c r="M125" i="2"/>
  <c r="K124" i="2"/>
  <c r="M124" i="2"/>
  <c r="K123" i="2"/>
  <c r="M123" i="2"/>
  <c r="K122" i="2"/>
  <c r="M122" i="2"/>
  <c r="K119" i="2"/>
  <c r="M119" i="2"/>
  <c r="M118" i="2"/>
  <c r="K118" i="2"/>
  <c r="M117" i="2"/>
  <c r="K117" i="2"/>
  <c r="M116" i="2"/>
  <c r="K116" i="2"/>
  <c r="K115" i="2"/>
  <c r="M115" i="2"/>
  <c r="M113" i="2"/>
  <c r="K113" i="2"/>
  <c r="K112" i="2"/>
  <c r="M112" i="2"/>
  <c r="K111" i="2"/>
  <c r="M111" i="2"/>
  <c r="M110" i="2"/>
  <c r="K110" i="2"/>
  <c r="K109" i="2"/>
  <c r="M109" i="2"/>
  <c r="K108" i="2"/>
  <c r="M108" i="2"/>
  <c r="K107" i="2"/>
  <c r="M107" i="2"/>
  <c r="M105" i="2"/>
  <c r="K105" i="2"/>
  <c r="K104" i="2"/>
  <c r="M104" i="2"/>
  <c r="K102" i="2"/>
  <c r="M102" i="2"/>
  <c r="M101" i="2"/>
  <c r="K101" i="2"/>
  <c r="M100" i="2"/>
  <c r="K100" i="2"/>
  <c r="K99" i="2"/>
  <c r="M99" i="2"/>
  <c r="K98" i="2"/>
  <c r="M98" i="2"/>
  <c r="K96" i="2"/>
  <c r="M96" i="2"/>
  <c r="M95" i="2"/>
  <c r="K95" i="2"/>
  <c r="M94" i="2"/>
  <c r="K94" i="2"/>
  <c r="K93" i="2"/>
  <c r="M93" i="2"/>
  <c r="K91" i="2"/>
  <c r="M91" i="2"/>
  <c r="M90" i="2"/>
  <c r="K90" i="2"/>
  <c r="M89" i="2"/>
  <c r="K89" i="2"/>
  <c r="M85" i="2"/>
  <c r="K85" i="2"/>
  <c r="K84" i="2"/>
  <c r="M84" i="2"/>
  <c r="M83" i="2"/>
  <c r="K83" i="2"/>
  <c r="K82" i="2"/>
  <c r="M82" i="2"/>
  <c r="K81" i="2"/>
  <c r="M81" i="2"/>
  <c r="M80" i="2"/>
  <c r="K80" i="2"/>
  <c r="K79" i="2"/>
  <c r="M79" i="2"/>
  <c r="M78" i="2"/>
  <c r="K78" i="2"/>
  <c r="K77" i="2"/>
  <c r="M77" i="2"/>
  <c r="K76" i="2"/>
  <c r="M76" i="2"/>
  <c r="K75" i="2"/>
  <c r="M75" i="2"/>
  <c r="K74" i="2"/>
  <c r="M74" i="2"/>
  <c r="M72" i="2"/>
  <c r="K72" i="2"/>
  <c r="M71" i="2"/>
  <c r="K71" i="2"/>
  <c r="M70" i="2"/>
  <c r="K70" i="2"/>
  <c r="K69" i="2"/>
  <c r="M69" i="2"/>
  <c r="M68" i="2"/>
  <c r="K68" i="2"/>
  <c r="M66" i="2"/>
  <c r="K66" i="2"/>
  <c r="K65" i="2"/>
  <c r="M65" i="2"/>
  <c r="K63" i="2"/>
  <c r="M63" i="2"/>
  <c r="M62" i="2"/>
  <c r="K62" i="2"/>
  <c r="M61" i="2"/>
  <c r="K61" i="2"/>
  <c r="K60" i="2"/>
  <c r="M60" i="2"/>
  <c r="M58" i="2"/>
  <c r="K58" i="2"/>
  <c r="K56" i="2"/>
  <c r="M56" i="2"/>
  <c r="M55" i="2"/>
  <c r="K55" i="2"/>
  <c r="K54" i="2"/>
  <c r="M54" i="2"/>
  <c r="K53" i="2"/>
  <c r="M53" i="2"/>
  <c r="K52" i="2"/>
  <c r="M52" i="2"/>
  <c r="M51" i="2"/>
  <c r="K51" i="2"/>
  <c r="M50" i="2"/>
  <c r="K50" i="2"/>
  <c r="M49" i="2"/>
  <c r="K49" i="2"/>
  <c r="K48" i="2"/>
  <c r="M48" i="2"/>
  <c r="K47" i="2"/>
  <c r="M47" i="2"/>
  <c r="K45" i="2"/>
  <c r="M45" i="2"/>
  <c r="J23" i="1"/>
  <c r="K44" i="2"/>
  <c r="K43" i="2"/>
  <c r="M43" i="2"/>
  <c r="M42" i="2"/>
  <c r="K42" i="2"/>
  <c r="M41" i="2"/>
  <c r="K41" i="2"/>
  <c r="M40" i="2"/>
  <c r="K40" i="2"/>
  <c r="M39" i="2"/>
  <c r="K39" i="2"/>
  <c r="M38" i="2"/>
  <c r="K38" i="2"/>
  <c r="K37" i="2"/>
  <c r="M37" i="2"/>
  <c r="K36" i="2"/>
  <c r="M36" i="2"/>
  <c r="M35" i="2"/>
  <c r="K35" i="2"/>
  <c r="K34" i="2"/>
  <c r="M34" i="2"/>
  <c r="M33" i="2"/>
  <c r="K33" i="2"/>
  <c r="M32" i="2"/>
  <c r="K32" i="2"/>
  <c r="M31" i="2"/>
  <c r="K31" i="2"/>
  <c r="M30" i="2"/>
  <c r="K30" i="2"/>
  <c r="M29" i="2"/>
  <c r="K29" i="2"/>
  <c r="K28" i="2"/>
  <c r="M28" i="2"/>
  <c r="K27" i="2"/>
  <c r="M27" i="2"/>
  <c r="K26" i="2"/>
  <c r="M26" i="2"/>
  <c r="K25" i="2"/>
  <c r="M25" i="2"/>
  <c r="K24" i="2"/>
  <c r="M24" i="2"/>
  <c r="K23" i="2"/>
  <c r="M23" i="2"/>
  <c r="K22" i="2"/>
  <c r="M22" i="2"/>
  <c r="M21" i="2"/>
  <c r="K21" i="2"/>
  <c r="M20" i="2"/>
  <c r="K20" i="2"/>
  <c r="M19" i="2"/>
  <c r="K19" i="2"/>
  <c r="K18" i="2"/>
  <c r="M18" i="2"/>
  <c r="M17" i="2"/>
  <c r="K17" i="2"/>
  <c r="K16" i="2"/>
  <c r="M16" i="2"/>
  <c r="K15" i="2"/>
  <c r="M15" i="2"/>
  <c r="K14" i="2"/>
  <c r="M14" i="2"/>
  <c r="M13" i="2"/>
  <c r="K13" i="2"/>
  <c r="M12" i="2"/>
  <c r="K12" i="2"/>
  <c r="M11" i="2"/>
  <c r="K11" i="2"/>
  <c r="M10" i="2"/>
  <c r="K10" i="2"/>
  <c r="M9" i="2"/>
  <c r="K9" i="2"/>
  <c r="K8" i="2"/>
  <c r="M8" i="2"/>
  <c r="M7" i="2"/>
  <c r="K7" i="2"/>
  <c r="M6" i="2"/>
  <c r="K6" i="2"/>
  <c r="M5" i="2"/>
  <c r="K5" i="2"/>
  <c r="K4" i="2"/>
  <c r="M4" i="2"/>
  <c r="M3" i="2"/>
  <c r="K3" i="2"/>
  <c r="M2" i="2"/>
  <c r="K2" i="2"/>
  <c r="B48" i="1" l="1"/>
  <c r="F48" i="1"/>
  <c r="E48" i="1"/>
  <c r="D48" i="1"/>
  <c r="C48" i="1"/>
  <c r="D41" i="1"/>
  <c r="C41" i="1"/>
  <c r="B41" i="1"/>
  <c r="E41" i="1"/>
  <c r="F41" i="1"/>
  <c r="F40" i="1"/>
  <c r="C40" i="1"/>
  <c r="B40" i="1"/>
  <c r="E40" i="1"/>
  <c r="D40" i="1"/>
  <c r="B47" i="1"/>
  <c r="F47" i="1"/>
  <c r="E47" i="1"/>
  <c r="D47" i="1"/>
  <c r="C47" i="1"/>
  <c r="F44" i="1"/>
  <c r="D44" i="1"/>
  <c r="C44" i="1"/>
  <c r="B44" i="1"/>
  <c r="E44" i="1"/>
  <c r="F46" i="1"/>
  <c r="D46" i="1"/>
  <c r="C46" i="1"/>
  <c r="B46" i="1"/>
  <c r="E46" i="1"/>
  <c r="D45" i="1"/>
  <c r="F45" i="1"/>
  <c r="B45" i="1"/>
  <c r="C45" i="1"/>
  <c r="E45" i="1"/>
  <c r="F38" i="1"/>
  <c r="D38" i="1"/>
  <c r="B38" i="1"/>
  <c r="C38" i="1"/>
  <c r="E38" i="1"/>
  <c r="B36" i="1"/>
  <c r="E36" i="1"/>
  <c r="D36" i="1"/>
  <c r="C36" i="1"/>
  <c r="F36" i="1"/>
  <c r="D39" i="1"/>
  <c r="C39" i="1"/>
  <c r="B39" i="1"/>
  <c r="F39" i="1"/>
  <c r="E39" i="1"/>
  <c r="B43" i="1"/>
  <c r="E43" i="1"/>
  <c r="C43" i="1"/>
  <c r="F43" i="1"/>
  <c r="D43" i="1"/>
  <c r="D35" i="1"/>
  <c r="E35" i="1"/>
  <c r="B35" i="1"/>
  <c r="C35" i="1"/>
  <c r="F35" i="1"/>
  <c r="B34" i="1"/>
  <c r="E34" i="1"/>
  <c r="D34" i="1"/>
  <c r="C34" i="1"/>
  <c r="F34" i="1"/>
  <c r="C31" i="1"/>
  <c r="E31" i="1"/>
  <c r="D31" i="1"/>
  <c r="B31" i="1"/>
  <c r="F31" i="1"/>
  <c r="F32" i="1"/>
  <c r="C32" i="1"/>
  <c r="E32" i="1"/>
  <c r="B32" i="1"/>
  <c r="D32" i="1"/>
  <c r="B37" i="1"/>
  <c r="F37" i="1"/>
  <c r="E37" i="1"/>
  <c r="C37" i="1"/>
  <c r="D37" i="1"/>
  <c r="B29" i="1"/>
  <c r="C29" i="1"/>
  <c r="D29" i="1"/>
  <c r="E29" i="1"/>
  <c r="F29" i="1"/>
  <c r="B30" i="1"/>
  <c r="C30" i="1"/>
  <c r="D30" i="1"/>
  <c r="E30" i="1"/>
  <c r="F30" i="1"/>
  <c r="D42" i="1"/>
  <c r="B42" i="1"/>
  <c r="E42" i="1"/>
  <c r="C42" i="1"/>
  <c r="F42" i="1"/>
  <c r="B49" i="1"/>
  <c r="C49" i="1"/>
  <c r="D49" i="1"/>
  <c r="E49" i="1"/>
  <c r="F49" i="1"/>
  <c r="J11" i="1"/>
  <c r="D9" i="1"/>
  <c r="B7" i="1"/>
  <c r="D10" i="1"/>
  <c r="B8" i="1"/>
  <c r="F33" i="1"/>
  <c r="D8" i="1"/>
  <c r="B12" i="1"/>
  <c r="E33" i="1"/>
  <c r="D12" i="1"/>
  <c r="D11" i="1"/>
  <c r="D33" i="1"/>
  <c r="B11" i="1"/>
  <c r="B9" i="1"/>
  <c r="B33" i="1"/>
  <c r="B10" i="1"/>
  <c r="D7" i="1"/>
  <c r="C33" i="1"/>
  <c r="J10" i="1"/>
  <c r="J9" i="1"/>
  <c r="B20" i="1"/>
  <c r="B21" i="1"/>
  <c r="B22" i="1"/>
  <c r="B23" i="1"/>
  <c r="J8" i="1"/>
  <c r="B24" i="1" l="1"/>
  <c r="G37" i="1"/>
  <c r="F50" i="1"/>
  <c r="G30" i="1"/>
  <c r="G47" i="1"/>
  <c r="G29" i="1"/>
  <c r="B50" i="1"/>
  <c r="G41" i="1"/>
  <c r="G33" i="1"/>
  <c r="G44" i="1"/>
  <c r="G34" i="1"/>
  <c r="G31" i="1"/>
  <c r="G32" i="1"/>
  <c r="G46" i="1"/>
  <c r="G45" i="1"/>
  <c r="G38" i="1"/>
  <c r="G36" i="1"/>
  <c r="G39" i="1"/>
  <c r="G43" i="1"/>
  <c r="G35" i="1"/>
  <c r="E50" i="1"/>
  <c r="C50" i="1"/>
  <c r="D50" i="1"/>
  <c r="G42" i="1"/>
  <c r="G49" i="1"/>
  <c r="B13" i="1"/>
  <c r="G48" i="1"/>
  <c r="G40" i="1"/>
  <c r="C21" i="1" l="1"/>
  <c r="C22" i="1"/>
  <c r="C20" i="1"/>
  <c r="C23" i="1"/>
  <c r="C11" i="1"/>
  <c r="J7" i="1"/>
  <c r="C7" i="1"/>
  <c r="C8" i="1"/>
  <c r="C9" i="1"/>
  <c r="C12" i="1"/>
  <c r="C10" i="1"/>
  <c r="G50" i="1"/>
  <c r="C24" i="1" l="1"/>
  <c r="G51" i="1"/>
  <c r="C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L1" authorId="0" shapeId="0" xr:uid="{00000000-0006-0000-0100-000002000000}">
      <text>
        <r>
          <rPr>
            <sz val="10"/>
            <rFont val="Arial"/>
            <family val="2"/>
          </rPr>
          <t>Escribe cualquier carácter (ej. x) al entregar: se muestra ✔ y el Estado pasa a Entregado.</t>
        </r>
      </text>
    </comment>
    <comment ref="M1" authorId="0" shapeId="0" xr:uid="{00000000-0006-0000-0100-000003000000}">
      <text>
        <r>
          <rPr>
            <sz val="10"/>
            <rFont val="Arial"/>
            <family val="2"/>
          </rPr>
          <t>REVISAR = la fecha vigente es anterior a la fecha de corte (Resumen!B3): confirma si ya se entregó y márcalo.</t>
        </r>
      </text>
    </comment>
    <comment ref="Q1" authorId="0" shapeId="0" xr:uid="{00000000-0006-0000-0100-000001000000}">
      <text>
        <r>
          <rPr>
            <sz val="10"/>
            <rFont val="Arial"/>
            <family val="2"/>
          </rPr>
          <t>Escribe aquí la nueva fecha solo si se mueve la entrega. El Estado y los días de atraso usan esta fecha en lugar de la estimada.</t>
        </r>
      </text>
    </comment>
  </commentList>
</comments>
</file>

<file path=xl/sharedStrings.xml><?xml version="1.0" encoding="utf-8"?>
<sst xmlns="http://schemas.openxmlformats.org/spreadsheetml/2006/main" count="5550" uniqueCount="1575">
  <si>
    <t>Resumen de seguimiento de PV</t>
  </si>
  <si>
    <t>Hoy:</t>
  </si>
  <si>
    <t>Fecha de corte (opcional):</t>
  </si>
  <si>
    <t>Si la fecha de entrega (estimada o reprogramada) es anterior a este corte y no está marcada ✔, el Estado dice REVISAR. Cámbiala o bórrala.</t>
  </si>
  <si>
    <t>1. Resumen por estado</t>
  </si>
  <si>
    <t>2. Pendientes (sin ✔)</t>
  </si>
  <si>
    <t>Estado</t>
  </si>
  <si>
    <t>Partidas</t>
  </si>
  <si>
    <t>% del total</t>
  </si>
  <si>
    <t>PV distintos</t>
  </si>
  <si>
    <t>Concepto</t>
  </si>
  <si>
    <t>Valor</t>
  </si>
  <si>
    <t>ATRASADO</t>
  </si>
  <si>
    <t>Partidas pendientes de entrega</t>
  </si>
  <si>
    <t>POR VENCER</t>
  </si>
  <si>
    <t>Partidas con atraso (rojo)</t>
  </si>
  <si>
    <t>EN TIEMPO</t>
  </si>
  <si>
    <t>Atraso promedio (días)</t>
  </si>
  <si>
    <t>REVISAR</t>
  </si>
  <si>
    <t>Atraso máximo (días)</t>
  </si>
  <si>
    <t>REVISAR TE</t>
  </si>
  <si>
    <t>Vencen en los próximos 7 días</t>
  </si>
  <si>
    <t>Entregado</t>
  </si>
  <si>
    <t>TOTAL</t>
  </si>
  <si>
    <t>Reprogramadas</t>
  </si>
  <si>
    <t>Un PV puede tener partidas en varios estados, por eso "PV distintos" por estado puede sumar más que el total.</t>
  </si>
  <si>
    <t>3. Antigüedad del atraso (partidas con días de atraso)</t>
  </si>
  <si>
    <t>4. Datos por capturar / completar</t>
  </si>
  <si>
    <t>Rango (días de atraso)</t>
  </si>
  <si>
    <t>% del total con atraso</t>
  </si>
  <si>
    <t>Columna</t>
  </si>
  <si>
    <t>Celdas vacías</t>
  </si>
  <si>
    <t>Para qué</t>
  </si>
  <si>
    <t>1 a 7</t>
  </si>
  <si>
    <t>fecha reprogramada de entrega</t>
  </si>
  <si>
    <t>Solo si se mueve la entrega</t>
  </si>
  <si>
    <t>8 a 30</t>
  </si>
  <si>
    <t>marcar de entregado</t>
  </si>
  <si>
    <t>Poner un carácter al entregar (✔)</t>
  </si>
  <si>
    <t>31 a 60</t>
  </si>
  <si>
    <t>Cliente</t>
  </si>
  <si>
    <t>Completar en Lista PV</t>
  </si>
  <si>
    <t>Más de 60</t>
  </si>
  <si>
    <t>Fecha entrega estimada</t>
  </si>
  <si>
    <t>Sin TE: estado REVISAR TE</t>
  </si>
  <si>
    <t>5. Pendientes por cliente (partidas sin ✔)</t>
  </si>
  <si>
    <t>Atrasado</t>
  </si>
  <si>
    <t>Por vencer</t>
  </si>
  <si>
    <t>En tiempo</t>
  </si>
  <si>
    <t>Revisar</t>
  </si>
  <si>
    <t>Revisar TE</t>
  </si>
  <si>
    <t>Total pendientes</t>
  </si>
  <si>
    <t>TRISTONE FLOWTECH MEXICO</t>
  </si>
  <si>
    <t>TOYODA GOSEI RUBBER MEXICO</t>
  </si>
  <si>
    <t>AKWEL ORIZABA MEXICO</t>
  </si>
  <si>
    <t>MADISEN</t>
  </si>
  <si>
    <t>HUTCHINSON TRANSFERENCIA DE FLUIDOS MEXICO</t>
  </si>
  <si>
    <t>TI AUTOMOTIVE REYNOSA</t>
  </si>
  <si>
    <t>HUTCHINSON AUTOPARTES MEXICO</t>
  </si>
  <si>
    <t>COOPER-STANDARD DE MEXICO</t>
  </si>
  <si>
    <t>MOTORES Y APARATOS ELECTRICOS DE DURANGO</t>
  </si>
  <si>
    <t>NOBEL AUTOMOTIVE TENNESSEE LLC</t>
  </si>
  <si>
    <t>SONOCO</t>
  </si>
  <si>
    <t>NOBEL AUTOMOTIVE MEXICO</t>
  </si>
  <si>
    <t>TI GROUP AUTOMOTIVE SYSTEMS</t>
  </si>
  <si>
    <t>GRUPO AMERICAN INDUSTRIES</t>
  </si>
  <si>
    <t>NOBEL AUTOMOTIVE MEXICO LLC</t>
  </si>
  <si>
    <t>CARLOS ALFONSO HIDALGO ANAYA</t>
  </si>
  <si>
    <t>AKWEL JUAREZ MEXICO</t>
  </si>
  <si>
    <t>SAN ANTONIO TARIMAS &amp; EMBALAJES</t>
  </si>
  <si>
    <t>Morgan Advanced Materials</t>
  </si>
  <si>
    <t>COOPER-STANDARD AUTOMOTIVE INC.</t>
  </si>
  <si>
    <t>(Sin cliente capturado)</t>
  </si>
  <si>
    <t>Verificación contra sección 2 (debe ser 0):</t>
  </si>
  <si>
    <t>PV</t>
  </si>
  <si>
    <t>Fecha PV</t>
  </si>
  <si>
    <t>TE (texto del PDF)</t>
  </si>
  <si>
    <t>TE (días)</t>
  </si>
  <si>
    <t>días de atraso</t>
  </si>
  <si>
    <t>Clave</t>
  </si>
  <si>
    <t>Cantidad</t>
  </si>
  <si>
    <t>Archivo</t>
  </si>
  <si>
    <t>PV 1290</t>
  </si>
  <si>
    <t>3 SEMANAS</t>
  </si>
  <si>
    <t>FIX-NVO-01</t>
  </si>
  <si>
    <t>FIXTURA INSPECCION ALUMINIO | GAGE 68612035</t>
  </si>
  <si>
    <t>PV1290.pdf</t>
  </si>
  <si>
    <t>PV 1291</t>
  </si>
  <si>
    <t>INMEDIATO</t>
  </si>
  <si>
    <t>FIX-RETR-04</t>
  </si>
  <si>
    <t>VENTANA GAGE ALUMINIO | Reposición de torre y ventana NP 86793804</t>
  </si>
  <si>
    <t>PV1291.pdf</t>
  </si>
  <si>
    <t>PV 1292</t>
  </si>
  <si>
    <t>3 A 4 SEMANAS</t>
  </si>
  <si>
    <t>MAN-NVO-01</t>
  </si>
  <si>
    <t>MANDRIL CON TAPAS | MANDRIL 310042712 17-4PH ENDURECIDO</t>
  </si>
  <si>
    <t>PV1292.pdf</t>
  </si>
  <si>
    <t>PV 1293</t>
  </si>
  <si>
    <t>MAN-NVO-02</t>
  </si>
  <si>
    <t>MANDRIL SIN TAPAS | 18-715A</t>
  </si>
  <si>
    <t>PV1293.pdf</t>
  </si>
  <si>
    <t>MANDRIL SIN TAPAS | 18-716A</t>
  </si>
  <si>
    <t>PV 1294</t>
  </si>
  <si>
    <t>5 SEMANAS</t>
  </si>
  <si>
    <t>MANDRIL CON TAPAS | G90A5-0E020 MANDREL</t>
  </si>
  <si>
    <t>PV1294.pdf</t>
  </si>
  <si>
    <t>MANDRIL CON TAPAS | G90AB-0E010 MANDREL</t>
  </si>
  <si>
    <t>MANDRIL CON TAPAS | 870B8-0E010 MANDREL HOSE 1</t>
  </si>
  <si>
    <t>MANDRIL CON TAPAS | 870B8-0E010 MANDREL HOSE 2</t>
  </si>
  <si>
    <t>MANDRIL CON TAPAS | 870B8-0E010 MANDREL HOSE 3</t>
  </si>
  <si>
    <t>MANDRIL CON TAPAS | G90AA-0E010 MANDREL HOSE 1</t>
  </si>
  <si>
    <t>MANDRIL CON TAPAS | G90AA-0E010 MANDREL HOSE 2</t>
  </si>
  <si>
    <t>MANDRIL CON TAPAS | 870B2-0E010 MANDREL HOSE 1</t>
  </si>
  <si>
    <t>MANDRIL CON TAPAS | 870B2-0E010 MANDREL HOSE 2</t>
  </si>
  <si>
    <t>MANDRIL CON TAPAS | 870B5-0E010 MANDREL HOSE 1</t>
  </si>
  <si>
    <t>MANDRIL CON TAPAS | 870B5-0E010 MANDREL HOSE 2</t>
  </si>
  <si>
    <t>MANDRIL CON TAPAS | 870B7-0E010 MANDREL HOSE 1</t>
  </si>
  <si>
    <t>MANDRIL CON TAPAS | 870B7-0E010 MANDREL HOSE 2</t>
  </si>
  <si>
    <t>MANDRIL CON TAPAS | 870B7-0E010 MANDREL HOSE 3</t>
  </si>
  <si>
    <t>MANDRIL CON TAPAS | 870B7-0E010 MANDREL HOSE 4</t>
  </si>
  <si>
    <t>MANDRIL CON TAPAS | G9229-0E090 MANDREL</t>
  </si>
  <si>
    <t>MANDRIL CON TAPAS | G9371-0E010 MANDREL</t>
  </si>
  <si>
    <t>MANDRIL CON TAPAS | 870B9-0E010 MANDREL</t>
  </si>
  <si>
    <t>MANDRIL CON TAPAS | 870B1-0E010 MANDREL HOSE 1</t>
  </si>
  <si>
    <t>MANDRIL CON TAPAS | 870B1-0E010 MANDREL HOSE 2</t>
  </si>
  <si>
    <t>MANDRIL CON TAPAS | G9372-0E010 MANDREL</t>
  </si>
  <si>
    <t>MANDRIL CON TAPAS | SEMAIN- SERVICIOS Y MAQUINADOS F-GER-90 REV 00 | Calle: CARR. DELICIAS-ROSETILLA KM. 1 No. 1200, Col. EL PROGRESO, CP: 33023, DIC-2023 | DELICIAS, CHIHUAHUA, MEXICO, RFC: SSM160526J21 | Fecha del documento: 09/01/2026 Fecha de entrega: 09/01/2026 | Datos del cliente Pedido | TOYODA GOSEI RUBBER MEXICO ( CL-34) PEDIDO PV 1294 | RFC: TGR130723NW0 | Fecha y hora: 09/01/2026 | Dirección: Calle: PRIVADA PALMA MAYOR No. 240 Lugar de expedición: | Col. Parque Industrial Los Palmares, CP: 87313 | CARR. DELICIAS-ROSETILLA KM. 1 No. 1200, Col. EL | , Matamoros, Tamaulipas | PROGRESO, CP: 33023, DELICIAS, CHIHUAHUA, MEXICO | Enviar a: Vendedor : | Dirección envío: Privada Palma Mayor No. 240 | Col. Parque Industrial Los Palmares, CP: 87313, Matamoros, Tamaulipas | Cantidad Clave Descripción | G9370-0E010 MANDREL</t>
  </si>
  <si>
    <t>PV 1295</t>
  </si>
  <si>
    <t>5 DÍAS</t>
  </si>
  <si>
    <t>MANDRIL SIN TAPAS | Mandril 52052429 SIN CAPS EXPEDITADO (diametro grueso)</t>
  </si>
  <si>
    <t>PV1295.pdf</t>
  </si>
  <si>
    <t>PV 1296</t>
  </si>
  <si>
    <t>5 A 6 SEMANAS</t>
  </si>
  <si>
    <t>FIXTURA INSPECCION ALUMINIO | AA116429-8400</t>
  </si>
  <si>
    <t>PV1296.pdf</t>
  </si>
  <si>
    <t>FIXTURA INSPECCION ALUMINIO | AA116429-8390</t>
  </si>
  <si>
    <t>PV 1297</t>
  </si>
  <si>
    <t>4 SEMANAS</t>
  </si>
  <si>
    <t>FIXTURA INSPECCION ALUMINIO | 1310878 NISSAN</t>
  </si>
  <si>
    <t>PV1297.pdf</t>
  </si>
  <si>
    <t>FIXTURA INSPECCION ALUMINIO | 130016279AA</t>
  </si>
  <si>
    <t>PV 1298</t>
  </si>
  <si>
    <t>MANDRIL SIN TAPAS | MANDRELS BKHO0937AAF00</t>
  </si>
  <si>
    <t>PV1298.pdf</t>
  </si>
  <si>
    <t>PV 1299</t>
  </si>
  <si>
    <t>3 A 5 DÍAS</t>
  </si>
  <si>
    <t>FIX-RETR-03</t>
  </si>
  <si>
    <t>NIDO A GAGE ALUMINIO | NIDO PARA NP P1041320A00 EXPEDITADO</t>
  </si>
  <si>
    <t>PV1299.pdf</t>
  </si>
  <si>
    <t>NIDO A GAGE ALUMINIO | NIDO PARA NP P1041529A00 EXPEDITADO</t>
  </si>
  <si>
    <t>NIDO A GAGE ALUMINIO | NIDO PARA NP P1041517A00 EXPEDITADO</t>
  </si>
  <si>
    <t>NIDO A GAGE ALUMINIO | NIDO PARA NP P1041264A00 EXPEDITADO</t>
  </si>
  <si>
    <t>PV 1300</t>
  </si>
  <si>
    <t>FIXTURA INSPECCION ALUMINIO | GAGE GK41-18C266-VB (ALUMINIO)</t>
  </si>
  <si>
    <t>PV1300.pdf</t>
  </si>
  <si>
    <t>PV 1301</t>
  </si>
  <si>
    <t>2 A 3 SEMANAS</t>
  </si>
  <si>
    <t>MANDRIL CON TAPAS | MANDRIL G9228-0R070</t>
  </si>
  <si>
    <t>PV1301.pdf</t>
  </si>
  <si>
    <t>MANDRIL CON TAPAS | MANDRIL GH699-90820</t>
  </si>
  <si>
    <t>MANDRIL CON TAPAS | MANDRIL GH699-90830</t>
  </si>
  <si>
    <t>PV 1302</t>
  </si>
  <si>
    <t>MANDRIL SIN TAPAS | MANDRIL NP LC34-8N029-CE (310044714) ENDURECIDO</t>
  </si>
  <si>
    <t>PV1302.pdf</t>
  </si>
  <si>
    <t>PV 1303</t>
  </si>
  <si>
    <t>FIX-RETR-08</t>
  </si>
  <si>
    <t>RETRABAJO DE FIXTURA DE ALUMINIO | Cambio de ingenieria para el NP 68612040AD TUBE 1</t>
  </si>
  <si>
    <t>PV1303.pdf</t>
  </si>
  <si>
    <t>RETRABAJO DE FIXTURA DE ALUMINIO | Cambio de ingenieria para el NP 68612040AD TUBE 2</t>
  </si>
  <si>
    <t>RETRABAJO DE FIXTURA DE ALUMINIO | Cambio de ingenieria para el NP 68612040AD TUBO RECTO</t>
  </si>
  <si>
    <t>PV 1305</t>
  </si>
  <si>
    <t>1 SEMANA</t>
  </si>
  <si>
    <t>MANDRIL CON TAPAS | Mandril 53041769 TEMPLADO</t>
  </si>
  <si>
    <t>PV1305.pdf</t>
  </si>
  <si>
    <t>SERV-TEMP-01</t>
  </si>
  <si>
    <t>SERVICIO TEMPLE | LOTE DE TRATAMIENTO TERMICO</t>
  </si>
  <si>
    <t>PV 1306</t>
  </si>
  <si>
    <t>MANDRIL SIN TAPAS | MANDRIL P6016637A00 SS 17-4PH</t>
  </si>
  <si>
    <t>PV1306.pdf</t>
  </si>
  <si>
    <t>PV 1307</t>
  </si>
  <si>
    <t>2 SEMANAS</t>
  </si>
  <si>
    <t>MANDRIL SIN TAPAS | MANDRIL P6015721A00</t>
  </si>
  <si>
    <t>PV1307.pdf</t>
  </si>
  <si>
    <t>PV 1308</t>
  </si>
  <si>
    <t>MANDRIL SIN TAPAS | MANDRIL P6017689A00 SS 17-4PH</t>
  </si>
  <si>
    <t>PV1308.pdf</t>
  </si>
  <si>
    <t>PV 1309</t>
  </si>
  <si>
    <t>3 A 5 SEMANAS</t>
  </si>
  <si>
    <t>MANDRIL CON TAPAS | MANDRIL M-86357015-A SS 17-4PH</t>
  </si>
  <si>
    <t>PV1309.pdf</t>
  </si>
  <si>
    <t>MANDRIL CON TAPAS | MANDRIL M-86357015-B SS 17-4PH</t>
  </si>
  <si>
    <t>PV 1311</t>
  </si>
  <si>
    <t>4 A 5 SEMANAS</t>
  </si>
  <si>
    <t>FIXTURA INSPECCION ALUMINIO | BD GAUGE P21-M60109-00 Tubo A PARA BRAZER</t>
  </si>
  <si>
    <t>PV1311.pdf</t>
  </si>
  <si>
    <t>PV 1312</t>
  </si>
  <si>
    <t>10 DÍAS</t>
  </si>
  <si>
    <t>MAN-RETR-06</t>
  </si>
  <si>
    <t>MANDRIL | Marca de ensamblaje mandril 5304916 lado boss</t>
  </si>
  <si>
    <t>PV1312.pdf</t>
  </si>
  <si>
    <t>PV 1313</t>
  </si>
  <si>
    <t>NIDO A GAGE ALUMINIO | CORTESIA: NIDO PARA BRACKET</t>
  </si>
  <si>
    <t>PV1313.pdf</t>
  </si>
  <si>
    <t>PV 1314</t>
  </si>
  <si>
    <t>4 A 6 SEMANAS</t>
  </si>
  <si>
    <t>MANDRIL CON TAPAS | M-P6019986A00 SS 17-4PH</t>
  </si>
  <si>
    <t>PV1314.pdf</t>
  </si>
  <si>
    <t>MANDRIL CON TAPAS | M-P6019988A00 SS 17-4PH</t>
  </si>
  <si>
    <t>PV 1315</t>
  </si>
  <si>
    <t>RETRABAJO DE FIXTURA DE ALUMINIO | RETRABAJO GAUGE NP 5A67557</t>
  </si>
  <si>
    <t>PV1315.pdf</t>
  </si>
  <si>
    <t>PV 1316</t>
  </si>
  <si>
    <t>FIXTURA INSPECCION ALUMINIO | GAUGE 86370227</t>
  </si>
  <si>
    <t>PV1316.pdf</t>
  </si>
  <si>
    <t>SERV-ENV-01</t>
  </si>
  <si>
    <t>SERVICIO DE ENVIO | SERVICIO DE EXPEDITADO GAUGE 86370227</t>
  </si>
  <si>
    <t>FIX-RETR-01</t>
  </si>
  <si>
    <t>CAMBIO DE INGENIERIA ALUMINIO | Cambio de ingenieria Gage NP 85046133 (NEW 86357014)</t>
  </si>
  <si>
    <t>SERVICIO DE ENVIO | SERVICIO DE EXPEDITDO GAUGE NP 85046133 (NEW 86357014)</t>
  </si>
  <si>
    <t>PV 1318</t>
  </si>
  <si>
    <t>MANDRIL CON TAPAS | MANDREL 310046868A</t>
  </si>
  <si>
    <t>PV1318.pdf</t>
  </si>
  <si>
    <t>MANDRIL CON TAPAS | MANDREL 310046869A</t>
  </si>
  <si>
    <t>MANDRIL CON TAPAS | MANDREL 310043947A</t>
  </si>
  <si>
    <t>MANDRIL CON TAPAS | MANDREL 310043948A</t>
  </si>
  <si>
    <t>PV 1319</t>
  </si>
  <si>
    <t>TBD</t>
  </si>
  <si>
    <t>RETRABAJO DE FIXTURA DE ALUMINIO | NUEVA VENTANA DE INSPECCIÓN DE ESTAMPADO NP 5A67548</t>
  </si>
  <si>
    <t>PV1319.pdf</t>
  </si>
  <si>
    <t>RETRABAJO DE FIXTURA DE ALUMINIO | NUEVA VENTANA DE INSPECCIÓN DE ESTAMPADO NP 5A67564</t>
  </si>
  <si>
    <t>RETRABAJO DE FIXTURA DE ALUMINIO | NUEVA VENTANA DE INSPECCIÓN DE ESTAMPADO NP 5A67574</t>
  </si>
  <si>
    <t>RETRABAJO DE FIXTURA DE ALUMINIO | NUEVA VENTANA DE INSPECCIÓN DE ESTAMPADO NP 5A67592</t>
  </si>
  <si>
    <t>RETRABAJO DE FIXTURA DE ALUMINIO | NUEVA VENTANA DE INSPECCIÓN DE ESTAMPADO NP 5A7FC30</t>
  </si>
  <si>
    <t>RETRABAJO DE FIXTURA DE ALUMINIO | NUEVA VENTANA DE INSPECCIÓN DE ESTAMPADO NP 8490603</t>
  </si>
  <si>
    <t>RETRABAJO DE FIXTURA DE ALUMINIO | NUEVA VENTANA DE INSPECCIÓN DE ESTAMPADO NP 5A67550</t>
  </si>
  <si>
    <t>RETRABAJO DE FIXTURA DE ALUMINIO | NUEVA VENTANA DE INSPECCIÓN DE ESTAMPADO NP 5A67554</t>
  </si>
  <si>
    <t>RETRABAJO DE FIXTURA DE ALUMINIO | NUEVA VENTANA DE INSPECCIÓN DE ESTAMPADO NP 5A67587</t>
  </si>
  <si>
    <t>RETRABAJO DE FIXTURA DE ALUMINIO | NUEVA VENTANA DE INSPECCIÓN DE ESTAMPADO NP 5A67577</t>
  </si>
  <si>
    <t>RETRABAJO DE FIXTURA DE ALUMINIO | NUEVA VENTANA DE INSPECCIÓN DE ESTAMPADO NP 5A67581</t>
  </si>
  <si>
    <t>RETRABAJO DE FIXTURA DE ALUMINIO | NUEVA VENTANA DE INSPECCIÓN DE ESTAMPADO NP 5A67588</t>
  </si>
  <si>
    <t>RETRABAJO DE FIXTURA DE ALUMINIO | NUEVA VENTANA DE INSPECCIÓN DE ESTAMPADO NP 5B4EA12</t>
  </si>
  <si>
    <t>RETRABAJO DE FIXTURA DE ALUMINIO | NUEVA VENTANA DE INSPECCIÓN DE ESTAMPADO NP 5A67567</t>
  </si>
  <si>
    <t>PV 1320</t>
  </si>
  <si>
    <t>MANDRIL SIN TAPAS | MANDRELS BKHO0825</t>
  </si>
  <si>
    <t>PV1320.pdf</t>
  </si>
  <si>
    <t>FIX-NVO-02</t>
  </si>
  <si>
    <t>FIXTURA INSPECCION RESINA | CHECKING FIXTURE BKHO0825</t>
  </si>
  <si>
    <t>PV 1321</t>
  </si>
  <si>
    <t>MANDRIL CON TAPAS | Mandril 53032442</t>
  </si>
  <si>
    <t>PV1321.pdf</t>
  </si>
  <si>
    <t>MANDRIL CON TAPAS | Mandril 53032443</t>
  </si>
  <si>
    <t>PV 1322</t>
  </si>
  <si>
    <t>6 A 7 SEMANAS</t>
  </si>
  <si>
    <t>MANDRIL CON TAPAS | MANDRIL M-18-464600 SS17-4PH</t>
  </si>
  <si>
    <t>PV1322.pdf</t>
  </si>
  <si>
    <t>MANDRIL CON TAPAS | MANDRIL M-18-464800 SS17-4PH</t>
  </si>
  <si>
    <t>MANDRIL CON TAPAS | MANDRIL M-18-465000 SS17-4PH</t>
  </si>
  <si>
    <t>MANDRIL CON TAPAS | MANDRIL M-18-465100 SS17-4PH</t>
  </si>
  <si>
    <t>PV 1323</t>
  </si>
  <si>
    <t>2 A 3 SEMANAS (CHEKING FIXTURE)</t>
  </si>
  <si>
    <t>MANDRIL SIN TAPAS | MANDRELS FC1Z0F2SDX</t>
  </si>
  <si>
    <t>PV1323.pdf</t>
  </si>
  <si>
    <t>FIXTURA INSPECCION RESINA | CHECK BOARD FC1Z0F2SDX</t>
  </si>
  <si>
    <t>FIXTURA INSPECCION RESINA | CHECKING FIXTURE FC1Z0F2SDX</t>
  </si>
  <si>
    <t>PV 1324</t>
  </si>
  <si>
    <t>MANDRIL | Muesca Mandril 53022161 Hose A</t>
  </si>
  <si>
    <t>PV1324.pdf</t>
  </si>
  <si>
    <t>MANDRIL | Muesca Mandril 53022166 Hose A</t>
  </si>
  <si>
    <t>MANDRIL | Muesca Mandril 52022148 Hose B</t>
  </si>
  <si>
    <t>PV 1325</t>
  </si>
  <si>
    <t>MANDRIL SIN TAPAS | MANDRIL P6010344A00</t>
  </si>
  <si>
    <t>PV1325.pdf</t>
  </si>
  <si>
    <t>MANDRIL SIN TAPAS | MANDRIL P6010347A00</t>
  </si>
  <si>
    <t>PV 1326</t>
  </si>
  <si>
    <t>6 SEMANAS</t>
  </si>
  <si>
    <t>PV1326.pdf</t>
  </si>
  <si>
    <t>MANDRIL SIN TAPAS | MANDRIL P6013055A00 SS17-4PH</t>
  </si>
  <si>
    <t>PV 1327</t>
  </si>
  <si>
    <t>MANDRIL CON TAPAS | MANDRIL M-86357014 SS303 WITH CAPS</t>
  </si>
  <si>
    <t>PV1327.pdf</t>
  </si>
  <si>
    <t>PV 1328</t>
  </si>
  <si>
    <t>2 A 6 SEMANAS</t>
  </si>
  <si>
    <t>MANDRIL SIN TAPAS | TB3G-18C266-NB HOSE A</t>
  </si>
  <si>
    <t>PV1328.pdf</t>
  </si>
  <si>
    <t>MANDRIL SIN TAPAS | TB3G-18C266-NB HOSE B</t>
  </si>
  <si>
    <t>MANDRIL SIN TAPAS | TB3G-8B555-NB HOSE A</t>
  </si>
  <si>
    <t>MANDRIL SIN TAPAS | TB3G-8C351-NA HOSE A</t>
  </si>
  <si>
    <t>MANDRIL SIN TAPAS | TB3G-8C351-SA HOSE A</t>
  </si>
  <si>
    <t>MANDRIL SIN TAPAS | TB3G-8B555-SB HOSE A</t>
  </si>
  <si>
    <t>MANDRIL SIN TAPAS | TB3G-8B555-TB HOSE A</t>
  </si>
  <si>
    <t>MANDRIL SIN TAPAS | TB3G-18K580-NB HOSE B</t>
  </si>
  <si>
    <t>MANDRIL SIN TAPAS | TB3G-18K580-NB HOSE C</t>
  </si>
  <si>
    <t>PV 1329</t>
  </si>
  <si>
    <t>FIXTURA INSPECCION ALUMINIO | GAUGE 86370225</t>
  </si>
  <si>
    <t>PV1329.pdf</t>
  </si>
  <si>
    <t>FIXTURA INSPECCION ALUMINIO | GAUGE 86357015</t>
  </si>
  <si>
    <t>FIXTURA INSPECCION ALUMINIO | GAUGE 86357018</t>
  </si>
  <si>
    <t>PV 1330</t>
  </si>
  <si>
    <t>MANDRIL SIN TAPAS | MANDRELS 300134400</t>
  </si>
  <si>
    <t>PV1330.pdf</t>
  </si>
  <si>
    <t>FIXTURA INSPECCION RESINA | CHECK BOARD 30013440</t>
  </si>
  <si>
    <t>FIXTURA INSPECCION RESINA | CHECKING FIXTURE 300134400</t>
  </si>
  <si>
    <t>PV 1331</t>
  </si>
  <si>
    <t>FIXTURA INSPECCION RESINA | GAGE 379585D</t>
  </si>
  <si>
    <t>PV1331.pdf</t>
  </si>
  <si>
    <t>FIXTURA INSPECCION RESINA | GAGE 379586A</t>
  </si>
  <si>
    <t>PV 1332</t>
  </si>
  <si>
    <t>FIXTURA INSPECCION ALUMINIO | GAUGE DE DETALLE TB3G-8D085-PA</t>
  </si>
  <si>
    <t>PV1332.pdf</t>
  </si>
  <si>
    <t>FIXTURA INSPECCION ALUMINIO | GAUGE FINAL TB3G-8D085-PA FINAL</t>
  </si>
  <si>
    <t>PV 1333</t>
  </si>
  <si>
    <t>VENTANA GAGE ALUMINIO | Ventana de inspección NP P1040364A00</t>
  </si>
  <si>
    <t>PV1333.pdf</t>
  </si>
  <si>
    <t>PV 1334</t>
  </si>
  <si>
    <t>MANDRIL | RETRABAJO MANDRIL PUNTA, MUESCA Y TAPA OPEN 53022220</t>
  </si>
  <si>
    <t>PV1334.pdf</t>
  </si>
  <si>
    <t>MANDRIL | RETRABAJO MANDRIL PUNTA, MUESCA Y TAPA OPEN 53022215</t>
  </si>
  <si>
    <t>MANDRIL | IMPLEMENTACIÓN MUESCA MANDRIL 53022196</t>
  </si>
  <si>
    <t>MANDRIL | IMPLEMENTACIÓN MUESCA MANDRIL 53022195</t>
  </si>
  <si>
    <t>MANDRIL | IMPLEMENTACIÓN MUESCA MANDRIL 52022204</t>
  </si>
  <si>
    <t>MANDRIL | IMPLEMENTACIÓN MUESCA MANDRIL 52022405</t>
  </si>
  <si>
    <t>MANDRIL | IMPLEMENTACIÓN MUESCA MANDRIL 53022152</t>
  </si>
  <si>
    <t>MANDRIL | IMPLEMENTACIÓN MUESCA MANDRIL 53022129</t>
  </si>
  <si>
    <t>MANDRIL | IMPLEMENTACIÓN MUESCA MANDRIL 53022128</t>
  </si>
  <si>
    <t>MANDRIL | IMPLEMENTACIÓN MUESCA MANDRIL 53022121</t>
  </si>
  <si>
    <t>MANDRIL | RETRABAJO MANDRIL PUNTA, MUESCA Y TAPA OPEN 53022123</t>
  </si>
  <si>
    <t>MANDRIL | RETRABAJO MANDRIL PUNTA, MUESCA Y TAPA OPEN 53022122</t>
  </si>
  <si>
    <t>MANDRIL | IMPLEMENTACIÓN MUESCA MANDRIL 53022247</t>
  </si>
  <si>
    <t>MANDRIL | RETRABAJO MANDRIL PUNTA, MUESCA Y TAPA OPEN 53022269</t>
  </si>
  <si>
    <t>MANDRIL | IMPLEMENTACIÓN MUESCA MANDRIL 53022098</t>
  </si>
  <si>
    <t>MANDRIL | IMPLEMENTACIÓN MUESCA MANDRIL 53022114</t>
  </si>
  <si>
    <t>MANDRIL | IMPLEMENTACIÓN MUESCA MANDRIL 52022206</t>
  </si>
  <si>
    <t>MANDRIL | IMPLEMENTACIÓN MUESCA MANDRIL 53022225</t>
  </si>
  <si>
    <t>MANDRIL | IMPLEMENTACIÓN MUESCA MANDRIL 53022250</t>
  </si>
  <si>
    <t>MANDRIL | IMPLEMENTACIÓN MUESCA MANDRIL 53022000</t>
  </si>
  <si>
    <t>MANDRIL | IMPLEMENTACIÓN MUESCA MANDRIL 53022189</t>
  </si>
  <si>
    <t>MANDRIL | SEMAIN- SERVICIOS Y MAQUINADOS F-GER-90 REV 00 | Calle: CARR. DELICIAS-ROSETILLA KM. 1 No. 1200, Col. EL PROGRESO, CP: 33023, DIC-2023 | DELICIAS, CHIHUAHUA, MEXICO, RFC: SSM160526J21 | Fecha del documento: 26/02/2026 Fecha de entrega: 26/02/2026 | Datos del cliente Pedido | TRISTONE FLOWTECH MEXICO ( CL-08) PEDIDO PV 1334 | RFC: TFM110608IP2 | Fecha y hora: 26/02/2026 | Dirección: Calle: CARRETERA JIMENEZ CHIHUAHUA No. KM 135 Lugar de expedición: | Col. SECTOR ORIENTE, CP: 33000 | CARR. DELICIAS-ROSETILLA KM. 1 No. 1200, Col. EL | DELICIAS, DELICIAS, CHIHUAHUA | PROGRESO, CP: 33023, DELICIAS, CHIHUAHUA, MEXICO | Tel.: 639 132-6000 | Enviar a: Vendedor : | Dirección envío: CARRETERA JIMENEZ-CHIHUAHUA KM. 135 | Col. SECTOR ORIENTE, CP: 33000, DELICIAS, DELICIAS, CHIHUAHUA | Cantidad Clave Descripción | IMPLEMENTACIÓN MUESCA MANDRIL 53022003</t>
  </si>
  <si>
    <t>MANDRIL | IMPLEMENTACIÓN MUESCA MANDRIL 52022004</t>
  </si>
  <si>
    <t>MANDRIL | RETRABAJO MANDRIL PUNTA, MUESCA Y TAPA OPEN 53022213</t>
  </si>
  <si>
    <t>MANDRIL | IMPLEMENTACIÓN MUESCA MANDRIL 52022251</t>
  </si>
  <si>
    <t>PV 1335</t>
  </si>
  <si>
    <t>MANDRIL CON TAPAS | BKHO0769AA</t>
  </si>
  <si>
    <t>PV1335.pdf</t>
  </si>
  <si>
    <t>PV 1337</t>
  </si>
  <si>
    <t>FIXTURA INSPECCION RESINA | CHECKING FIXTURE 156972A</t>
  </si>
  <si>
    <t>PV1337.pdf</t>
  </si>
  <si>
    <t>FIXTURA INSPECCION RESINA | CHECKING FIXTURE 156968A</t>
  </si>
  <si>
    <t>FIXTURA INSPECCION RESINA | CHECKING FIXTURE 156969A</t>
  </si>
  <si>
    <t>FIXTURA INSPECCION RESINA | CHECKING FIXTURE 156970A</t>
  </si>
  <si>
    <t>FIXTURA INSPECCION RESINA | CHECKING FIXTURE 156971A</t>
  </si>
  <si>
    <t>MANDRIL SIN TAPAS | MANDRELS 156972A</t>
  </si>
  <si>
    <t>FIXTURA INSPECCION RESINA | CHECK BOARD 156972A</t>
  </si>
  <si>
    <t>MANDRIL SIN TAPAS | MANDRELS 156968A</t>
  </si>
  <si>
    <t>FIXTURA INSPECCION RESINA | CHECK BOARD 156968A</t>
  </si>
  <si>
    <t>MANDRIL SIN TAPAS | MANDRELS 156969A</t>
  </si>
  <si>
    <t>FIXTURA INSPECCION RESINA | CHECK BOARD 156969A</t>
  </si>
  <si>
    <t>MANDRIL SIN TAPAS | MANDRELS 156970A</t>
  </si>
  <si>
    <t>FIXTURA INSPECCION RESINA | CHECK BOARD 156970A</t>
  </si>
  <si>
    <t>MANDRIL SIN TAPAS | MANDRELS 156971A</t>
  </si>
  <si>
    <t>FIXTURA INSPECCION RESINA | CHECK BOARD 156971A | CHECKING FIXTURE 2 A 3 SEMANAS | MANDREL 3 A 4 SEMANAS | CHECK BOARD</t>
  </si>
  <si>
    <t>PV 1338</t>
  </si>
  <si>
    <t>5 A 7 SEMANAS</t>
  </si>
  <si>
    <t>FIXTURA INSPECCION ALUMINIO | GAUGE FINAL 5A69FE3</t>
  </si>
  <si>
    <t>PV1338.pdf</t>
  </si>
  <si>
    <t>FIXTURA INSPECCION ALUMINIO | GAUGE FINAL 5A69FE4</t>
  </si>
  <si>
    <t>FIXTURA INSPECCION ALUMINIO | GAUGE FINAL 5A69FE6</t>
  </si>
  <si>
    <t>FIXTURA INSPECCION ALUMINIO | GAUGE FINAL 5A69FE8</t>
  </si>
  <si>
    <t>FIXTURA INSPECCION ALUMINIO | GAUGE FINAL 5A69FE9</t>
  </si>
  <si>
    <t>FIXTURA INSPECCION ALUMINIO | GAUGE FINAL 5A69FF0</t>
  </si>
  <si>
    <t>FIXTURA INSPECCION ALUMINIO | GAUGE FINAL 5A69FF2</t>
  </si>
  <si>
    <t>FIXTURA INSPECCION ALUMINIO | GAUGE FINAL 5A69FF3</t>
  </si>
  <si>
    <t>FIXTURA INSPECCION ALUMINIO | GAUGE FINAL 5A69FF4</t>
  </si>
  <si>
    <t>FIXTURA INSPECCION ALUMINIO | GAUGE FINAL 5A69FF5</t>
  </si>
  <si>
    <t>PV 1339</t>
  </si>
  <si>
    <t>RETRABAJO DE FIXTURA DE ALUMINIO | GARANTIA: Desviación y torre con movimiento 130016279AA</t>
  </si>
  <si>
    <t>PV1339.pdf</t>
  </si>
  <si>
    <t>RETRABAJO DE FIXTURA DE ALUMINIO | GARANTIA: Ajustar a muestra física el conector AA116429-8400</t>
  </si>
  <si>
    <t>PV 1340</t>
  </si>
  <si>
    <t>MANDRIL | GARANTIA: Ajuste a mandril GH61907730UA</t>
  </si>
  <si>
    <t>PV1340.pdf</t>
  </si>
  <si>
    <t>MANDRIL | GARANTIA: Ajuste a mandril GH61908330UA</t>
  </si>
  <si>
    <t>MANDRIL | GARANTIA: Ajuste a mandril GH61908350UA</t>
  </si>
  <si>
    <t>MANDRIL | GARANTIA: Ajuste a mandril GH61908080UA</t>
  </si>
  <si>
    <t>MANDRIL | GARANTIA: Ajuste a mandril GH61908090UA</t>
  </si>
  <si>
    <t>PV 1341</t>
  </si>
  <si>
    <t>MANDRIL SIN TAPAS | M-52-3746 SS 17-4PH</t>
  </si>
  <si>
    <t>PV1341.pdf</t>
  </si>
  <si>
    <t>PV 1342</t>
  </si>
  <si>
    <t>MAN-RETR-01</t>
  </si>
  <si>
    <t>TAPAS INOXIDABLE | Tapas Mandril 53031898</t>
  </si>
  <si>
    <t>PV1342.pdf</t>
  </si>
  <si>
    <t>TAPAS INOXIDABLE | Tapas Mandri 53031899</t>
  </si>
  <si>
    <t>TAPAS INOXIDABLE | Tapas Mandri 52031901</t>
  </si>
  <si>
    <t>PV 1343</t>
  </si>
  <si>
    <t>MANDRIL CON TAPAS | Mandril 53042469 Hose A TEMPLE</t>
  </si>
  <si>
    <t>PV1343.pdf</t>
  </si>
  <si>
    <t>MANDRIL CON TAPAS | Mandril 53042470 Hose C TEMPLE</t>
  </si>
  <si>
    <t>PV 1344</t>
  </si>
  <si>
    <t>5 A 8 SEMANAS</t>
  </si>
  <si>
    <t>MANDRIL CON TAPAS | Mandril 52042451 Hose A TEMPLE</t>
  </si>
  <si>
    <t>PV1344.pdf</t>
  </si>
  <si>
    <t>MANDRIL CON TAPAS | Mandril 52042317 Hose A</t>
  </si>
  <si>
    <t>MANDRIL CON TAPAS | Mandril 53042312 Hose C</t>
  </si>
  <si>
    <t>MANDRIL CON TAPAS | Mandril 53042314 Hose E</t>
  </si>
  <si>
    <t>MANDRIL CON TAPAS | Mandril 53042459 Hose C</t>
  </si>
  <si>
    <t>MANDRIL CON TAPAS | Mandril 52042460 Hose A TEMPLE</t>
  </si>
  <si>
    <t>MANDRIL CON TAPAS | Mandril 53042461 Hose A</t>
  </si>
  <si>
    <t>MANDRIL CON TAPAS | Mandril 53042334 Hose B</t>
  </si>
  <si>
    <t>MANDRIL CON TAPAS | Mandril 53042335 Hose C</t>
  </si>
  <si>
    <t>MANDRIL CON TAPAS | Mandril 53042336 Hose D</t>
  </si>
  <si>
    <t>PV 1345</t>
  </si>
  <si>
    <t>3 DÍAS</t>
  </si>
  <si>
    <t>EPPS-20</t>
  </si>
  <si>
    <t>PLACA DE IDENTIFICACION | PLACA DE INDENTIFICACIÓN 6821654-7</t>
  </si>
  <si>
    <t>PV1345.pdf</t>
  </si>
  <si>
    <t>PLACA DE IDENTIFICACION | PLACA DE INDENTIFICACIÓN 6821660-7</t>
  </si>
  <si>
    <t>PLACA DE IDENTIFICACION | PLACA DE INDENTIFICACIÓN 9354467-7</t>
  </si>
  <si>
    <t>PLACA DE IDENTIFICACION | PLACA DE INDENTIFICACIÓN 9874298-2</t>
  </si>
  <si>
    <t>PV 1346</t>
  </si>
  <si>
    <t>FIXTURA INSPECCION RESINA | GAUGE WC44-7G071-AC</t>
  </si>
  <si>
    <t>PV1346.pdf</t>
  </si>
  <si>
    <t>FIXTURA INSPECCION RESINA | GAUGE WC24-7G071-AC</t>
  </si>
  <si>
    <t>PV 1347</t>
  </si>
  <si>
    <t>6 A 8 SEMANAS</t>
  </si>
  <si>
    <t>FIXTURA INSPECCION RESINA | GAUGE WC44-8B274-AC CON IMPLEMENTACIÓN SENSORES</t>
  </si>
  <si>
    <t>PV1347.pdf</t>
  </si>
  <si>
    <t>FIXTURA INSPECCION RESINA | GAUGE WC44-8W005-AB CON IMPLEMENTACIÓN SENSORES</t>
  </si>
  <si>
    <t>FIXTURA INSPECCION RESINA | GAUGE WC24-7F120-AB</t>
  </si>
  <si>
    <t>FIXTURA INSPECCION RESINA | GAUGE WC24-18C266-EC</t>
  </si>
  <si>
    <t>FIXTURA INSPECCION RESINA | GAUGE WC44-7F120-AC</t>
  </si>
  <si>
    <t>PV 1348</t>
  </si>
  <si>
    <t>OTRO-42</t>
  </si>
  <si>
    <t>Material diverso | ENVIO DE PIEZAS PARA GAUGE NP RB3G-8D036-AD</t>
  </si>
  <si>
    <t>PV1348.pdf</t>
  </si>
  <si>
    <t>PV 1349</t>
  </si>
  <si>
    <t>MANDRIL | Muesca Mandril 52042284 Hose A</t>
  </si>
  <si>
    <t>PV1349.pdf</t>
  </si>
  <si>
    <t>MANDRIL | Muesca Mandril 53042276 Hose B</t>
  </si>
  <si>
    <t>MANDRIL | Muesca Mandril 52042317 Hose A</t>
  </si>
  <si>
    <t>MANDRIL | Muesca Mandril 53042312 Hose C</t>
  </si>
  <si>
    <t>MANDRIL | Muesca Mandril 53042277 Hose A</t>
  </si>
  <si>
    <t>MANDRIL | Muesca Mandril 53042334 Hose B</t>
  </si>
  <si>
    <t>MANDRIL | Muesca Mandril 53042335 Hose C</t>
  </si>
  <si>
    <t>MANDRIL | Muesca Mandril 53042336 Hose D</t>
  </si>
  <si>
    <t>MANDRIL | Muesca Mandril 53042326 Hose C</t>
  </si>
  <si>
    <t>MANDRIL | Muesca Mandril 53042327 Hose D</t>
  </si>
  <si>
    <t>MANDRIL | Muesca Mandril 53042328 Hose E</t>
  </si>
  <si>
    <t>MANDRIL | Muesca Mandril 53042320 Hose A</t>
  </si>
  <si>
    <t>MANDRIL | Muesca Mandril 53042321 Hose B</t>
  </si>
  <si>
    <t>MANDRIL | Muesca Mandril 53042322 Hose C</t>
  </si>
  <si>
    <t>PV 1350</t>
  </si>
  <si>
    <t>MANDRIL CON TAPAS | MANDRIL 53042444</t>
  </si>
  <si>
    <t>PV1350.pdf</t>
  </si>
  <si>
    <t>PV 1351</t>
  </si>
  <si>
    <t>MANDRIL CON TAPAS | Mandril 53022466</t>
  </si>
  <si>
    <t>PV1351.pdf</t>
  </si>
  <si>
    <t>PV 1352</t>
  </si>
  <si>
    <t>CAMBIO DE INGENIERIA ALUMINIO | Cambio de ingenieria a Gage NP 5A67587</t>
  </si>
  <si>
    <t>PV1352.pdf</t>
  </si>
  <si>
    <t>PV 1353</t>
  </si>
  <si>
    <t>SERV-INSP-03</t>
  </si>
  <si>
    <t>CALIBRACION A EQUIPO | ESCANEO 3D BRAQUETS REPORTE COLORIMETRIA 30 PIEZAS</t>
  </si>
  <si>
    <t>PV1353.pdf</t>
  </si>
  <si>
    <t>PV 1354</t>
  </si>
  <si>
    <t>RETRABAJO DE FIXTURA DE ALUMINIO | RETRABAJO A Gage NP 8490597</t>
  </si>
  <si>
    <t>PV1354.pdf</t>
  </si>
  <si>
    <t>PV 1355</t>
  </si>
  <si>
    <t>MANDRIL SIN TAPAS | MANDRELS 300134488</t>
  </si>
  <si>
    <t>PV1355.pdf</t>
  </si>
  <si>
    <t>FIXTURA INSPECCION RESINA | CHECK BOARD 300134488</t>
  </si>
  <si>
    <t>FIXTURA INSPECCION RESINA | CHECKING FIXTURE 300134488</t>
  </si>
  <si>
    <t>PV 1356</t>
  </si>
  <si>
    <t>FIXTURA INSPECCION RESINA | GAUGE 86357018 HOSE A RESINA/IMPRESION 3D</t>
  </si>
  <si>
    <t>PV1356.pdf</t>
  </si>
  <si>
    <t>FIXTURA INSPECCION RESINA | GAUGE 86357018 HOSE B RESINA/IMPRESION 3D</t>
  </si>
  <si>
    <t>OTRO-43</t>
  </si>
  <si>
    <t>Implementación, instalación y puesta | Implementación dispositivo de sensor de ruta Gauge 86370225</t>
  </si>
  <si>
    <t>PV 1357</t>
  </si>
  <si>
    <t>MANDRIL SIN TAPAS | MANDREL 68635934AA SS 17-4PH</t>
  </si>
  <si>
    <t>PV1357.pdf</t>
  </si>
  <si>
    <t>Material diverso | TREEBAR</t>
  </si>
  <si>
    <t>PV 1358</t>
  </si>
  <si>
    <t>TAPAS INOXIDABLE | TAPA OPEN 156968A PT-0599</t>
  </si>
  <si>
    <t>PV1358-1.pdf</t>
  </si>
  <si>
    <t>PV1358.pdf</t>
  </si>
  <si>
    <t>PV 1359</t>
  </si>
  <si>
    <t>Material diverso | -2 PLACAS DE IDENTIFICACIÓN | -ESPEJO PARA VERIFICACIÓN</t>
  </si>
  <si>
    <t>PV1359.pdf</t>
  </si>
  <si>
    <t>PV 1360</t>
  </si>
  <si>
    <t>CAMBIO DE INGENIERIA ALUMINIO | Cambio de ingenieria Tubo detalle PR3B-19972-CE/DE</t>
  </si>
  <si>
    <t>PV1360.pdf</t>
  </si>
  <si>
    <t>PV 1361</t>
  </si>
  <si>
    <t>MANDRIL SIN TAPAS | MANDRIL P6004622A00 SS17-4PH</t>
  </si>
  <si>
    <t>PV1361.pdf</t>
  </si>
  <si>
    <t>PV 1362</t>
  </si>
  <si>
    <t>FIXTURA INSPECCION ALUMINIO | BD GAUGE 68615726AC TUBE B Y CARRO PARA BD</t>
  </si>
  <si>
    <t>PV1362.pdf</t>
  </si>
  <si>
    <t>PV 1363</t>
  </si>
  <si>
    <t>FIXTURA INSPECCION ALUMINIO | GAUGE NP 92440 7SF0C y NP 92440 7SF0B</t>
  </si>
  <si>
    <t>PV1363.pdf</t>
  </si>
  <si>
    <t>PV 1364</t>
  </si>
  <si>
    <t>4 DÍAS</t>
  </si>
  <si>
    <t>CALIBRACION A EQUIPO | ESCANEO 3D NP 1000023833A0 REPORTE COLORIMETRIA 6 PIEZAS</t>
  </si>
  <si>
    <t>PV1364.pdf</t>
  </si>
  <si>
    <t>PV 1365</t>
  </si>
  <si>
    <t>RETRABAJO DE FIXTURA DE ALUMINIO | RETRABAJO A GAUGE NP 8856369</t>
  </si>
  <si>
    <t>PV1365.pdf</t>
  </si>
  <si>
    <t>PV 1366</t>
  </si>
  <si>
    <t>FIX-RETR-09</t>
  </si>
  <si>
    <t>RETRABAJO DE FIXTURA DE RESINA | RETRABAJO NP P00007034-03-AA</t>
  </si>
  <si>
    <t>PV1366.pdf</t>
  </si>
  <si>
    <t>SERV-INSP-01</t>
  </si>
  <si>
    <t>CMM INSPECCION DIMENSIONAL FIXTURA | CMM Y PLACA DE IDENTIFICACIÓN NP P00007034-03-AA</t>
  </si>
  <si>
    <t>PV 1367</t>
  </si>
  <si>
    <t>RETRABAJO DE FIXTURA DE RESINA | Cambio de ingenieria a Gage NP 68611791AD</t>
  </si>
  <si>
    <t>PV1367.pdf</t>
  </si>
  <si>
    <t>RETRABAJO DE FIXTURA DE RESINA | CMM A GAUGE</t>
  </si>
  <si>
    <t>PV 1368</t>
  </si>
  <si>
    <t>FIXTURA INSPECCION ALUMINIO | GAGE NP 12814925 (EXPEDITADO)</t>
  </si>
  <si>
    <t>PV1368.pdf</t>
  </si>
  <si>
    <t>PV 1369</t>
  </si>
  <si>
    <t>MANDRIL SIN TAPAS | MANDRELS 300133578</t>
  </si>
  <si>
    <t>PV1369.pdf</t>
  </si>
  <si>
    <t>FIXTURA INSPECCION RESINA | CHECK BOARD 300133578</t>
  </si>
  <si>
    <t>FIXTURA INSPECCION RESINA | CHECKING FIXTURE 300133578</t>
  </si>
  <si>
    <t>PV 1370</t>
  </si>
  <si>
    <t>FIXTURA INSPECCION ALUMINIO | Gage de Detalle Tubo A 147013100 VR3V-19972-AA</t>
  </si>
  <si>
    <t>PV1370.pdf</t>
  </si>
  <si>
    <t>FIXTURA INSPECCION ALUMINIO | Gage de Detalle Tubo B 147013100 VR3V-19972-AA</t>
  </si>
  <si>
    <t>FIXTURA INSPECCION ALUMINIO | Gage Final 147013100 VR3V-19972-AA</t>
  </si>
  <si>
    <t>FIXTURA INSPECCION ALUMINIO | Gage Detalle Tubo A 147014100 VR3V-19N651-AA</t>
  </si>
  <si>
    <t>FIXTURA INSPECCION ALUMINIO | Gage Final 147014100 VR3V-19N651-AA</t>
  </si>
  <si>
    <t>PV 1371</t>
  </si>
  <si>
    <t>Material diverso | VENTANA Y ANILLO PARA CLIP GAUGE 85556107/85556108</t>
  </si>
  <si>
    <t>PV1371.pdf</t>
  </si>
  <si>
    <t>Material diverso | Tuerca para verificar la rosca del FILLER HEAD</t>
  </si>
  <si>
    <t>PV 1372</t>
  </si>
  <si>
    <t>CALIBRACION A EQUIPO | MEN06</t>
  </si>
  <si>
    <t>PV1372.pdf</t>
  </si>
  <si>
    <t>CALIBRACION A EQUIPO | CA011</t>
  </si>
  <si>
    <t>CALIBRACION A EQUIPO | MES08</t>
  </si>
  <si>
    <t>PV 1373</t>
  </si>
  <si>
    <t>FIXTURA INSPECCION RESINA | Final gage (FG) WK41-9D289-AB / WK41-9D289-BB</t>
  </si>
  <si>
    <t>PV1373.pdf</t>
  </si>
  <si>
    <t>FIXTURA INSPECCION RESINA | Final gage (FG) WK41-9G291-AB / WK41-9G291-CB</t>
  </si>
  <si>
    <t>FIXTURA INSPECCION RESINA | Final gage WK41-9J279-CA / WK41-9J279-DB</t>
  </si>
  <si>
    <t>PV 1374</t>
  </si>
  <si>
    <t>FIXTURA INSPECCION ALUMINIO | BD GAGE NP 68582113AB TUBO C</t>
  </si>
  <si>
    <t>PV1374.pdf</t>
  </si>
  <si>
    <t>PV 1375</t>
  </si>
  <si>
    <t>Material diverso | CARRO Y FUNDA PARA GAUGE</t>
  </si>
  <si>
    <t>PV1375.pdf</t>
  </si>
  <si>
    <t>PV 1376</t>
  </si>
  <si>
    <t>2 A 4 SEMANAS</t>
  </si>
  <si>
    <t>CONS--899</t>
  </si>
  <si>
    <t>IMPRESION | IMPRESIÓN 3D ENSAMBLE 5A69FE3</t>
  </si>
  <si>
    <t>PV1376.pdf</t>
  </si>
  <si>
    <t>IMPRESION | IMPRESIÓN 3D ENSAMBLE 5A69FE4</t>
  </si>
  <si>
    <t>IMPRESION | IMPRESIÓN 3D ENSAMBLE 5A69FE6</t>
  </si>
  <si>
    <t>IMPRESION | IMPRESIÓN 3D ENSAMBLE 5A69FE8</t>
  </si>
  <si>
    <t>IMPRESION | IMPRESIÓN 3D ENSAMBLE 5A69FE9</t>
  </si>
  <si>
    <t>IMPRESION | IMPRESIÓN 3D ENSAMBLE 5A69FF0</t>
  </si>
  <si>
    <t>IMPRESION | IMPRESIÓN 3D ENSAMBLE 5A69FF2</t>
  </si>
  <si>
    <t>IMPRESION | IMPRESIÓN 3D ENSAMBLE 5A69FF3</t>
  </si>
  <si>
    <t>IMPRESION | IMPRESIÓN 3D ENSAMBLE 5A69FF4</t>
  </si>
  <si>
    <t>IMPRESION | IMPRESIÓN 3D ENSAMBLE 5A69FF5</t>
  </si>
  <si>
    <t>PV 1377</t>
  </si>
  <si>
    <t>1 A 2 SEMANAS</t>
  </si>
  <si>
    <t>PV1377.pdf</t>
  </si>
  <si>
    <t>PV 1378</t>
  </si>
  <si>
    <t>RETRABAJO DE FIXTURA DE ALUMINIO | Retrabajo a Gage NP 5A67564</t>
  </si>
  <si>
    <t>PV1378.pdf</t>
  </si>
  <si>
    <t>PV 1379</t>
  </si>
  <si>
    <t>RETRABAJO DE FIXTURA DE ALUMINIO | Retrabajo a Gage NP 5B4EAA5</t>
  </si>
  <si>
    <t>PV1379.pdf</t>
  </si>
  <si>
    <t>PV 1380</t>
  </si>
  <si>
    <t>Material diverso | TORRES PARA INSPECCIÓN SLEEVE GAUGE 85556107/85556108</t>
  </si>
  <si>
    <t>PV1380.pdf</t>
  </si>
  <si>
    <t>Material diverso | PLACA DE IDENTIFICACIÓN PARA GAUGES NP: | 85653030 | 85653029 | 85653028 | 85653027 | 85653026 | 85653025 | 85653024 | 85653023 | 85653022 | 85556108 | 85556107</t>
  </si>
  <si>
    <t>PV 1381</t>
  </si>
  <si>
    <t>MANDRIL CON TAPAS | MANDRIL M-P6017523A01 SS17-4PH</t>
  </si>
  <si>
    <t>PV1381.pdf</t>
  </si>
  <si>
    <t>PV 1382</t>
  </si>
  <si>
    <t>MANDRIL SIN TAPAS | MANDRIL P6015869A00</t>
  </si>
  <si>
    <t>PV1382.pdf</t>
  </si>
  <si>
    <t>PV 1383</t>
  </si>
  <si>
    <t>MANDRIL SIN TAPAS | MANDRIL M69-1387 SS17-4PH</t>
  </si>
  <si>
    <t>PV1383.pdf</t>
  </si>
  <si>
    <t>PV 1384</t>
  </si>
  <si>
    <t>MANDRIL CON TAPAS | MANDREL 8M0119103</t>
  </si>
  <si>
    <t>PV1384.pdf</t>
  </si>
  <si>
    <t>PV 1385</t>
  </si>
  <si>
    <t>CAMBIO DE INGENIERIA ALUMINIO | Cambio de ingenieria a Gage NP 68577489AB</t>
  </si>
  <si>
    <t>PV1385.pdf</t>
  </si>
  <si>
    <t>PV 1386</t>
  </si>
  <si>
    <t>MANDRIL SIN TAPAS | MANDRIL A167 500 6303-A</t>
  </si>
  <si>
    <t>PV1386.pdf</t>
  </si>
  <si>
    <t>MANDRIL SIN TAPAS | MANDRIL A167 500 6303-B</t>
  </si>
  <si>
    <t>PV 1387</t>
  </si>
  <si>
    <t>MANDRIL CON TAPAS | Mandril 52041360 Hose A</t>
  </si>
  <si>
    <t>PV1387.pdf</t>
  </si>
  <si>
    <t>PV 1388</t>
  </si>
  <si>
    <t>FIXTURA INSPECCION RESINA | GAGE P1043466A00</t>
  </si>
  <si>
    <t>PV1388.pdf</t>
  </si>
  <si>
    <t>PV 1389</t>
  </si>
  <si>
    <t>2 A 5 SEMANAS</t>
  </si>
  <si>
    <t>MANDRIL SIN TAPAS | MANDRIL E14146</t>
  </si>
  <si>
    <t>PV1389.pdf</t>
  </si>
  <si>
    <t>MANDRIL SIN TAPAS | MANDRIL E13982</t>
  </si>
  <si>
    <t>PV 1390</t>
  </si>
  <si>
    <t>RETRABAJO DE FIXTURA DE ALUMINIO | Retrabajo a Gage NP 8856360</t>
  </si>
  <si>
    <t>PV1390.pdf</t>
  </si>
  <si>
    <t>RETRABAJO DE FIXTURA DE ALUMINIO | Retrabajo a Gage NP 8490601</t>
  </si>
  <si>
    <t>PV 1391</t>
  </si>
  <si>
    <t>CAMBIO DE INGENIERIA ALUMINIO | Cambio de ingenieria a Gage NP 5A7FC29-02</t>
  </si>
  <si>
    <t>PV1391.pdf</t>
  </si>
  <si>
    <t>PV 1392</t>
  </si>
  <si>
    <t>FIXTURA INSPECCION RESINA | GAUGE WC44-8B555-AC CON SENSORES</t>
  </si>
  <si>
    <t>PV1392.pdf</t>
  </si>
  <si>
    <t>FIXTURA INSPECCION RESINA | GAUGE WC24-8B273-AC CON SENSORES</t>
  </si>
  <si>
    <t>FIXTURA INSPECCION RESINA | GAUGE WC24-8B274-AC CON SENSORES</t>
  </si>
  <si>
    <t>FIXTURA INSPECCION RESINA | GAUGE WC24-18C266-CC</t>
  </si>
  <si>
    <t>FIXTURA INSPECCION RESINA | GAUGE WC24-18C266-DC CON SENSORES</t>
  </si>
  <si>
    <t>PV 1393</t>
  </si>
  <si>
    <t>MANDRIL SIN TAPAS | MANDREL C50201AA SS 17-4PH</t>
  </si>
  <si>
    <t>PV1393.pdf</t>
  </si>
  <si>
    <t>Material diverso | TREEBAR | DT 2 TO 3 WEEKS</t>
  </si>
  <si>
    <t>PV 1394</t>
  </si>
  <si>
    <t>MANDRIL SIN TAPAS | MANDREL WITHOUT 8M0099670 SS 17-4PH | DT 2 TO 3 WEEKS</t>
  </si>
  <si>
    <t>PV1394.pdf</t>
  </si>
  <si>
    <t>PV 1395</t>
  </si>
  <si>
    <t>CMM INSPECCION DIMENSIONAL FIXTURA | CMM ISO 17025 A GAUGE NP P1040364</t>
  </si>
  <si>
    <t>PV1395.pdf</t>
  </si>
  <si>
    <t>PV 1396</t>
  </si>
  <si>
    <t>MANDRIL CON TAPAS | MANDREL 310052247 (210030941 OBSOLETO)</t>
  </si>
  <si>
    <t>PV1396.pdf</t>
  </si>
  <si>
    <t>PV 1397</t>
  </si>
  <si>
    <t>FIXTURA INSPECCION RESINA | GAUGE SL44-18C266-HAC</t>
  </si>
  <si>
    <t>PV1397.pdf</t>
  </si>
  <si>
    <t>PV 1398</t>
  </si>
  <si>
    <t>FIXTURA INSPECCION RESINA | GAUGE P00025442-01-AA CON SENSORES</t>
  </si>
  <si>
    <t>PV1398.pdf</t>
  </si>
  <si>
    <t>PV 1399</t>
  </si>
  <si>
    <t>3 A 6 SEMANAS</t>
  </si>
  <si>
    <t>MANDRIL SIN TAPAS | MANDREL V1049876</t>
  </si>
  <si>
    <t>PV1399.pdf</t>
  </si>
  <si>
    <t>MANDRIL CON TAPAS | MANDREL V1049661</t>
  </si>
  <si>
    <t>MANDRIL CON TAPAS | MANDREL V1107887</t>
  </si>
  <si>
    <t>MANDRIL CON TAPAS | MANDREL V1130595</t>
  </si>
  <si>
    <t>MANDRIL CON TAPAS | MANDREL V310016821A</t>
  </si>
  <si>
    <t>MANDRIL CON TAPAS | MANDREL V310021898A</t>
  </si>
  <si>
    <t>MANDRIL CON TAPAS | MANDREL V310016829A</t>
  </si>
  <si>
    <t>MANDRIL CON TAPAS | MANDREL V1105288</t>
  </si>
  <si>
    <t>MANDRIL SIN TAPAS | MANDREL V1105325 SS17-4 PH</t>
  </si>
  <si>
    <t>PV 1400</t>
  </si>
  <si>
    <t>FIXTURA INSPECCION ALUMINIO | GAGE 68577419AE</t>
  </si>
  <si>
    <t>PV1400.pdf</t>
  </si>
  <si>
    <t>PV 1401</t>
  </si>
  <si>
    <t>2 DÍAS</t>
  </si>
  <si>
    <t>SERV-TEMP-21</t>
  </si>
  <si>
    <t>SERVICIO TECNICO | DISEÑO DE CAJA</t>
  </si>
  <si>
    <t>PV1401.pdf</t>
  </si>
  <si>
    <t>PV 1402</t>
  </si>
  <si>
    <t>MANDRIL CON TAPAS | MANDRIL BKHO0183AD SS17-4 PH</t>
  </si>
  <si>
    <t>PV1402.pdf</t>
  </si>
  <si>
    <t>PV 1403</t>
  </si>
  <si>
    <t>MANDRIL SIN TAPAS | MANDRELS 3900008975</t>
  </si>
  <si>
    <t>PV1403.pdf</t>
  </si>
  <si>
    <t>MANDRIL SIN TAPAS | MANDRELS FC1Z0F2S7T-01</t>
  </si>
  <si>
    <t>MANDRIL SIN TAPAS | MANDRELS FC1Z0F2S7G-01</t>
  </si>
  <si>
    <t>MANDRIL SIN TAPAS | MANDREL SAB-01</t>
  </si>
  <si>
    <t>PV 1404</t>
  </si>
  <si>
    <t>FIX-RETR-02</t>
  </si>
  <si>
    <t>CAMBIO DE INGENIERIA RESINA | Cambio de ingenieria a Gage NP 215057VA0A</t>
  </si>
  <si>
    <t>PV1404.pdf</t>
  </si>
  <si>
    <t>PV 1405</t>
  </si>
  <si>
    <t>2 SEMANAS (CAMBIO DE INGENIERIA)</t>
  </si>
  <si>
    <t>Material diverso | Envió de piezas PIN y BASE PIN para Gage NP 21502 7VA5A</t>
  </si>
  <si>
    <t>PV1405.pdf</t>
  </si>
  <si>
    <t>CAMBIO DE INGENIERIA RESINA | Cambio de ingenieria a Gage NP 215027VA0A</t>
  </si>
  <si>
    <t>PV 1406</t>
  </si>
  <si>
    <t>Material diverso | Envió de PIN y BASE PIN para Gage NP ML3E-18465-AA</t>
  </si>
  <si>
    <t>PV1406.pdf</t>
  </si>
  <si>
    <t>PV 1407</t>
  </si>
  <si>
    <t>PV1407.pdf</t>
  </si>
  <si>
    <t>PV 1408</t>
  </si>
  <si>
    <t>Implementación, instalación y puesta | IMPLEMENTACIÓN SENSOR DE PRESENCIA GAGUE 68719209AA</t>
  </si>
  <si>
    <t>PV1408.pdf</t>
  </si>
  <si>
    <t>PV 1409</t>
  </si>
  <si>
    <t>CMM INSPECCION DIMENSIONAL FIXTURA | CMM NP 68429996AE (NEW 68429996AF)</t>
  </si>
  <si>
    <t>PV1409.pdf</t>
  </si>
  <si>
    <t>PLACA DE IDENTIFICACION | PLACA DE IDENTIFICACIÓN NP 68429996AF</t>
  </si>
  <si>
    <t>PV 1410</t>
  </si>
  <si>
    <t>MANDRIL SIN TAPAS | MANDRELS 300135057</t>
  </si>
  <si>
    <t>PV1410.pdf</t>
  </si>
  <si>
    <t>FIXTURA INSPECCION RESINA | CHECK BOARD 300135057</t>
  </si>
  <si>
    <t>FIXTURA INSPECCION RESINA | CHECKING FIXTURE 300135057</t>
  </si>
  <si>
    <t>MANDRIL SIN TAPAS | MANDRELS 300136001</t>
  </si>
  <si>
    <t>FIXTURA INSPECCION RESINA | CHECK BOARD 300136001</t>
  </si>
  <si>
    <t>FIXTURA INSPECCION RESINA | CHECKING FIXTURE 300136001</t>
  </si>
  <si>
    <t>PV 1411</t>
  </si>
  <si>
    <t>FIXTURA INSPECCION RESINA | GAUGE P00025443-01 (CON SENSORES)</t>
  </si>
  <si>
    <t>PV1411.pdf</t>
  </si>
  <si>
    <t>PV 1412</t>
  </si>
  <si>
    <t>MANDRIL | Notch a mandril 52042451 Hose A</t>
  </si>
  <si>
    <t>PV1412.pdf</t>
  </si>
  <si>
    <t>PV 1413</t>
  </si>
  <si>
    <t>CAMBIO DE INGENIERIA ALUMINIO | Cambio de ingenieria a Gage NP 5A69FF4</t>
  </si>
  <si>
    <t>PV1413.pdf</t>
  </si>
  <si>
    <t>CAMBIO DE INGENIERIA ALUMINIO | Cambio de ingenieria a Gage NP 5A69FF0</t>
  </si>
  <si>
    <t>PV 1414</t>
  </si>
  <si>
    <t>FIXTURA INSPECCION ALUMINIO | GAGE FINAL RB3G-8D036-AE</t>
  </si>
  <si>
    <t>PV1414.pdf</t>
  </si>
  <si>
    <t>FIXTURA INSPECCION ALUMINIO | GAGE DE DETALLE DEL TUBO RB3G-8D036-AE</t>
  </si>
  <si>
    <t>PV 1415</t>
  </si>
  <si>
    <t>MANDRIL CON TAPAS | MANDREL 310051988</t>
  </si>
  <si>
    <t>PV1415.pdf</t>
  </si>
  <si>
    <t>MANDRIL CON TAPAS | MANDREL 310051989</t>
  </si>
  <si>
    <t>MANDRIL CON TAPAS | MANDREL 310051990</t>
  </si>
  <si>
    <t>PV 1416</t>
  </si>
  <si>
    <t>MANDRIL SIN TAPAS | MANDRIL P6015896A00 SS17-4PH</t>
  </si>
  <si>
    <t>PV1416.pdf</t>
  </si>
  <si>
    <t>PV 1417</t>
  </si>
  <si>
    <t>MANDRIL SIN TAPAS | MANDRIL P6014763A00</t>
  </si>
  <si>
    <t>PV1417.pdf</t>
  </si>
  <si>
    <t>PV 1418</t>
  </si>
  <si>
    <t>MANDRIL SIN TAPAS | MANDRIL P6013987A0</t>
  </si>
  <si>
    <t>PV1418.pdf</t>
  </si>
  <si>
    <t>PV 1419</t>
  </si>
  <si>
    <t>RETRABAJO DE FIXTURA DE ALUMINIO | Retrabajo a Gage NP 5A67571-02</t>
  </si>
  <si>
    <t>PV1419.pdf</t>
  </si>
  <si>
    <t>PV 1420</t>
  </si>
  <si>
    <t>CAMBIO DE INGENIERIA RESINA | CAMBIO DE INGENIERIA GAGE 371387B</t>
  </si>
  <si>
    <t>PV1420.pdf</t>
  </si>
  <si>
    <t>PV 1421</t>
  </si>
  <si>
    <t>CMM INSPECCION DIMENSIONAL FIXTURA | REPORTE DIMENSIONAL FIXTURA 734D</t>
  </si>
  <si>
    <t>PV1421.pdf</t>
  </si>
  <si>
    <t>PV 1422</t>
  </si>
  <si>
    <t>PLACA DE IDENTIFICACION | GARANTIA: PLACA DE IDENTIFICACIÓN NP 2113AB TUBO C</t>
  </si>
  <si>
    <t>PV1422.pdf</t>
  </si>
  <si>
    <t>PV 1423</t>
  </si>
  <si>
    <t>FIXTURA INSPECCION RESINA | Gage NP LF004531AA para inspeccionar manguera con conectores y sin conectores en el | mismo gage</t>
  </si>
  <si>
    <t>PV1423.pdf</t>
  </si>
  <si>
    <t>PV 1424</t>
  </si>
  <si>
    <t>Material diverso | PROTOTIPOS BUJE DE HIERRO FUNDIDO GRIS NP NEC40503</t>
  </si>
  <si>
    <t>PV1424.pdf</t>
  </si>
  <si>
    <t>PV 1425</t>
  </si>
  <si>
    <t>1 DÍA</t>
  </si>
  <si>
    <t>CMM INSPECCION DIMENSIONAL FIXTURA | CMM ISO 17025 GAUGE NP WC44-18K579-AC EXPEDITADO</t>
  </si>
  <si>
    <t>PV1425.pdf</t>
  </si>
  <si>
    <t>CMM INSPECCION DIMENSIONAL FIXTURA | CMM ISO 17025 GAUGE NP WC24-8W005-AB EXPEDITADO</t>
  </si>
  <si>
    <t>CMM INSPECCION DIMENSIONAL FIXTURA | CMM ISO 17025 GAUGE NP WC24-18C266-BC EXPEDITADO</t>
  </si>
  <si>
    <t>CMM INSPECCION DIMENSIONAL FIXTURA | CMM ISO 17025 GAUGE NP WC44-18D476-AC EXPEDITADO</t>
  </si>
  <si>
    <t>PV 1426</t>
  </si>
  <si>
    <t>RET-002</t>
  </si>
  <si>
    <t>RETRABAJO FIXTURAS. | Retrabajo a Gage NP 8856365</t>
  </si>
  <si>
    <t>PV1426.pdf</t>
  </si>
  <si>
    <t>RETRABAJO FIXTURAS. | Retrabajo a Gage NP 8856371</t>
  </si>
  <si>
    <t>PV 1427</t>
  </si>
  <si>
    <t>RETRABAJO FIXTURAS. | Retrabajo a Gage NP 5A67562</t>
  </si>
  <si>
    <t>PV1427.pdf</t>
  </si>
  <si>
    <t>PV 1428</t>
  </si>
  <si>
    <t>MANDRIL CON TAPAS | MANDRIL G9228-0G020</t>
  </si>
  <si>
    <t>PV1428.pdf</t>
  </si>
  <si>
    <t>FIXTURA INSPECCION RESINA | MANDREL CHECK G9228-0G020</t>
  </si>
  <si>
    <t>FIXTURA INSPECCION RESINA | HOSE CHECK G9228-0G020</t>
  </si>
  <si>
    <t>FIXTURA INSPECCION RESINA | QC FIXTURE G9228-0G020</t>
  </si>
  <si>
    <t>MANDRIL CON TAPAS | MANDRIL G9236-0G020</t>
  </si>
  <si>
    <t>FIXTURA INSPECCION RESINA | MANDREL CHECK G9236-0G020</t>
  </si>
  <si>
    <t>FIXTURA INSPECCION RESINA | HOSE CHECK G9236-0G020</t>
  </si>
  <si>
    <t>FIXTURA INSPECCION RESINA | QC FIXTURE G9236-0G020</t>
  </si>
  <si>
    <t>MANDRIL CON TAPAS | MANDRIL G9375-0G010</t>
  </si>
  <si>
    <t>FIXTURA INSPECCION RESINA | MANDREL CHECK G9375-0G010</t>
  </si>
  <si>
    <t>FIXTURA INSPECCION RESINA | HOSE CHECK G9375-0G010</t>
  </si>
  <si>
    <t>FIXTURA INSPECCION RESINA | QC FIXTURE G9375-0G010</t>
  </si>
  <si>
    <t>PV 1429</t>
  </si>
  <si>
    <t>SERV-INSP-02</t>
  </si>
  <si>
    <t>CMM INSPECCION DIMENSIONAL MANDRIL | FORD Hose Inspection 23 PIEZAS</t>
  </si>
  <si>
    <t>PV1429.pdf</t>
  </si>
  <si>
    <t>PV 1430</t>
  </si>
  <si>
    <t>MANDRIL CON TAPAS | MANDRIL G9373-0G010 HOSE 1 GH619-10670</t>
  </si>
  <si>
    <t>PV1430.pdf</t>
  </si>
  <si>
    <t>FIXTURA INSPECCION RESINA | MANDREL CHECK G9373-0G010</t>
  </si>
  <si>
    <t>FIXTURA INSPECCION RESINA | HOSE CHECK G9373-0G010</t>
  </si>
  <si>
    <t>FIXTURA INSPECCION RESINA | QC FIXTURE G9373-0G010</t>
  </si>
  <si>
    <t>MANDRIL CON TAPAS | MANDRIL G90A8-0E020 HOSE 1 GH619-10950</t>
  </si>
  <si>
    <t>FIXTURA INSPECCION RESINA | MANDREL CHECK G90A8-0E020</t>
  </si>
  <si>
    <t>FIXTURA INSPECCION RESINA | HOSE CHECK G90A8-0E020</t>
  </si>
  <si>
    <t>FIXTURA INSPECCION RESINA | QC FIXTURE G90A8-0E020</t>
  </si>
  <si>
    <t>PV 1431</t>
  </si>
  <si>
    <t>FIXTURA INSPECCION ALUMINIO | GAGE GD&amp;T NP 86457025</t>
  </si>
  <si>
    <t>PV1431.pdf</t>
  </si>
  <si>
    <t>PV 1432</t>
  </si>
  <si>
    <t>CAMBIO DE INGENIERIA RESINA | Cambio de ingenieria a Gage NP G9229-F6020 (NEW G9229-08070)</t>
  </si>
  <si>
    <t>PV1432.pdf</t>
  </si>
  <si>
    <t>PV 1433</t>
  </si>
  <si>
    <t>HERR-GEN-01</t>
  </si>
  <si>
    <t>HERRAMIENTAS DIVERSAS ACERO | FIXTURA ACERO INOXIDABLE NP A50254AA</t>
  </si>
  <si>
    <t>PV1433.pdf</t>
  </si>
  <si>
    <t>PV 1434</t>
  </si>
  <si>
    <t>Material diverso | Repuesto de Balero lineal</t>
  </si>
  <si>
    <t>PV1434.pdf</t>
  </si>
  <si>
    <t>VENTANA GAGE ALUMINIO | Ventana Inspección 86372148</t>
  </si>
  <si>
    <t>PV 1435</t>
  </si>
  <si>
    <t>TAPAS INOXIDABLE | Tapa Boss Movil</t>
  </si>
  <si>
    <t>PV1435.pdf</t>
  </si>
  <si>
    <t>TAPAS INOXIDABLE | Tapa Boss Fijo</t>
  </si>
  <si>
    <t>PV 1436</t>
  </si>
  <si>
    <t>MANDRIL | Retrabajo Mandril 52042457</t>
  </si>
  <si>
    <t>PV1436.pdf</t>
  </si>
  <si>
    <t>PV 1437</t>
  </si>
  <si>
    <t>CAMBIO DE INGENIERIA ALUMINIO | Envió de piezas para Gage NP 86312878 (was 86291423 was 85046336)</t>
  </si>
  <si>
    <t>PV1437.pdf</t>
  </si>
  <si>
    <t>CAMBIO DE INGENIERIA ALUMINIO | Envió de piezas para Gage NP 86312876 (was 85044158)</t>
  </si>
  <si>
    <t>PV 1438</t>
  </si>
  <si>
    <t>FIXTURA INSPECCION ALUMINIO | Fixtura de soldadura NP 68534595AA</t>
  </si>
  <si>
    <t>PV1438.pdf</t>
  </si>
  <si>
    <t>PV 1439</t>
  </si>
  <si>
    <t>MANDRIL SIN TAPAS | MANDREL 1126790 SS17-4PH / EXPEDITADO</t>
  </si>
  <si>
    <t>PV1439.pdf</t>
  </si>
  <si>
    <t>PV 1440</t>
  </si>
  <si>
    <t>15 DÍAS</t>
  </si>
  <si>
    <t>MANDRIL SIN TAPAS | Flecha de mandril 52041146</t>
  </si>
  <si>
    <t>PV1440.pdf</t>
  </si>
  <si>
    <t>TAPAS INOXIDABLE | Tapa boss movil 52041146</t>
  </si>
  <si>
    <t>PV 1441</t>
  </si>
  <si>
    <t>CMM INSPECCION DIMENSIONAL FIXTURA | -Dimensionado de puntos teóricos de medición en fixtura 725D. | -Archivo de escaneo de fixtura actualizado. | -Servicios de paquetería Chihuahua-Delicias-Chihuahua.</t>
  </si>
  <si>
    <t>PV1441.pdf</t>
  </si>
  <si>
    <t>PV 1442</t>
  </si>
  <si>
    <t>CAMBIO DE INGENIERIA ALUMINIO | Cambio de ingenieria a Gage NP 86357014 (NEW 86457026)</t>
  </si>
  <si>
    <t>PV1442.pdf</t>
  </si>
  <si>
    <t>SERVICIO DE ENVIO | SERVICIO DE EXPEDITADO CAMBIO DE INGENIERIA</t>
  </si>
  <si>
    <t>PV 1443</t>
  </si>
  <si>
    <t>MANDRIL CON TAPAS | MANDREL V1128465</t>
  </si>
  <si>
    <t>PV1443.pdf</t>
  </si>
  <si>
    <t>MANDRIL CON TAPAS | MANDREL V1128466</t>
  </si>
  <si>
    <t>MANDRIL CON TAPAS | MANDREL 310012332</t>
  </si>
  <si>
    <t>PV 1444</t>
  </si>
  <si>
    <t>MANDRIL CON TAPAS | MANDRIL M-18-245500 HOSE A SS17-4PH / EXPEDITADO</t>
  </si>
  <si>
    <t>PV1444.pdf</t>
  </si>
  <si>
    <t>MANDRIL CON TAPAS | MANDRIL M-18-245600 HOSE B / EXPEDITADO</t>
  </si>
  <si>
    <t>MANDRIL CON TAPAS | MANDRIL M-193547 HOSE C / EXPEDITADO</t>
  </si>
  <si>
    <t>PV 1445</t>
  </si>
  <si>
    <t>FIXTURA INSPECCION RESINA | MANDREL CHECK G9225-0E120</t>
  </si>
  <si>
    <t>PV1445.pdf</t>
  </si>
  <si>
    <t>FIXTURA INSPECCION RESINA | HOSE CHECK G9225-0E120</t>
  </si>
  <si>
    <t>FIXTURA INSPECCION RESINA | MANDREL CHECK G9227-0E160</t>
  </si>
  <si>
    <t>FIXTURA INSPECCION RESINA | HOSE CHECK G9227-0E160</t>
  </si>
  <si>
    <t>FIXTURA INSPECCION RESINA | FG G90A0-0E060</t>
  </si>
  <si>
    <t>SERVICIO DE ENVIO | SERVICIO EXPEDITADO NP G90A0-0E060</t>
  </si>
  <si>
    <t>FIXTURA INSPECCION RESINA | MANDREL CHECK G9225-0E080</t>
  </si>
  <si>
    <t>FIXTURA INSPECCION RESINA | HOSE CHECK G9225-0E080</t>
  </si>
  <si>
    <t>FIXTURA INSPECCION RESINA | FG G9225-0E080</t>
  </si>
  <si>
    <t>SERVICIO DE ENVIO | SERVICIO EXPEDITADO NP G9225-0E080</t>
  </si>
  <si>
    <t>FIXTURA INSPECCION RESINA | MANDREL CHECK G9226-0E150</t>
  </si>
  <si>
    <t>FIXTURA INSPECCION RESINA | HOSE CHECK G9226-0E150</t>
  </si>
  <si>
    <t>FIXTURA INSPECCION RESINA | FG G9226-0E150</t>
  </si>
  <si>
    <t>SERVICIO DE ENVIO | SERVICIO EXPEDITADO NP G9226-0E150</t>
  </si>
  <si>
    <t>FIXTURA INSPECCION RESINA | MANDREL CHECK GH619-10910</t>
  </si>
  <si>
    <t>FIXTURA INSPECCION RESINA | HOSE CHECK GH619-10910</t>
  </si>
  <si>
    <t>FIXTURA INSPECCION RESINA | MANDREL CHECK GH619-10920</t>
  </si>
  <si>
    <t>FIXTURA INSPECCION RESINA | HOSE CHECK GH619-10920</t>
  </si>
  <si>
    <t>FIXTURA INSPECCION RESINA | FG G9226-0G020</t>
  </si>
  <si>
    <t>SERVICIO DE ENVIO | SERVICIO EXPEDITADO NP G9226-0G020</t>
  </si>
  <si>
    <t>MANDRIL CON TAPAS | MANDRIL G9225-0E120</t>
  </si>
  <si>
    <t>MANDRIL CON TAPAS | SEMAIN- SERVICIOS Y MAQUINADOS F-GER-90 REV 00 | Calle: CARR. DELICIAS-ROSETILLA KM. 1 No. 1200, Col. EL PROGRESO, CP: 33023, DIC-2023 | DELICIAS, CHIHUAHUA, MEXICO, RFC: SSM160526J21 | Fecha del documento: 06/06/2026 Fecha de entrega: 06/06/2026 | Datos del cliente Pedido | TOYODA GOSEI RUBBER MEXICO ( CL-34) PEDIDO PV 1445 | RFC: TGR130723NW0 | Fecha y hora: 06/06/2026 | Dirección: Calle: PRIVADA PALMA MAYOR No. 240 Lugar de expedición: | Col. Parque Industrial Los Palmares, CP: 87313 | CARR. DELICIAS-ROSETILLA KM. 1 No. 1200, Col. EL | , Matamoros, Tamaulipas | PROGRESO, CP: 33023, DELICIAS, CHIHUAHUA, MEXICO | Enviar a: Vendedor : | Dirección envío: Privada Palma Mayor No. 240 | Col. Parque Industrial Los Palmares, CP: 87313, Matamoros, Tamaulipas | Cantidad Clave Descripción | MANDRIL G9227-0E160</t>
  </si>
  <si>
    <t>MANDRIL CON TAPAS | MANDRIL G9225-0E080</t>
  </si>
  <si>
    <t>MANDRIL CON TAPAS | MANDRIL G9226-0E150</t>
  </si>
  <si>
    <t>MANDRIL CON TAPAS | MANDRIL GH619-10910</t>
  </si>
  <si>
    <t>MANDRIL CON TAPAS | MANDRIL GH619-10920</t>
  </si>
  <si>
    <t>PV 1446</t>
  </si>
  <si>
    <t>RETRABAJO DE FIXTURA DE ALUMINIO | Retrabajo a Gage NP 8490610</t>
  </si>
  <si>
    <t>PV1446.pdf</t>
  </si>
  <si>
    <t>PV 1447</t>
  </si>
  <si>
    <t>HERR-GEN-CE01</t>
  </si>
  <si>
    <t>HERRAMIENTAS DIVERSAS | juegos de caps (cap punta y cap base) 1101394</t>
  </si>
  <si>
    <t>PV1447.pdf</t>
  </si>
  <si>
    <t>PV 1448</t>
  </si>
  <si>
    <t>TAPAS INOXIDABLE | Implementación de Notch mandril 53032483</t>
  </si>
  <si>
    <t>PV1448.pdf</t>
  </si>
  <si>
    <t>PV 1450</t>
  </si>
  <si>
    <t>RETRABAJO DE FIXTURA DE ALUMINIO | Retrabajo a Gage NP 8490611</t>
  </si>
  <si>
    <t>PV1450.pdf</t>
  </si>
  <si>
    <t>PV 1451</t>
  </si>
  <si>
    <t>RETRABAJO DE FIXTURA DE ALUMINIO | Retrabajo a Gauge NP 5A67561</t>
  </si>
  <si>
    <t>PV1451.pdf</t>
  </si>
  <si>
    <t>PV 1452</t>
  </si>
  <si>
    <t>CAMBIO DE INGENIERIA RESINA | Cambio de ingenieria a Gage NP SL44-18C266-HAB</t>
  </si>
  <si>
    <t>PV1452.pdf</t>
  </si>
  <si>
    <t>PV 1453</t>
  </si>
  <si>
    <t>FIXTURA INSPECCION RESINA | GAUGE PIPA NP 5A7FC29</t>
  </si>
  <si>
    <t>PV1453.pdf</t>
  </si>
  <si>
    <t>PV 1454</t>
  </si>
  <si>
    <t>CAMBIO DE INGENIERIA ALUMINIO | Cambio de ingenieria a Gage NP 85046140 (NEW 86457024)</t>
  </si>
  <si>
    <t>PV1454.pdf</t>
  </si>
  <si>
    <t>CAMBIO DE INGENIERIA ALUMINIO | Cambio de ingenieria a Gage NP 86357018 (NEW 86457027)</t>
  </si>
  <si>
    <t>CAMBIO DE INGENIERIA ALUMINIO | Cambio de ingenieria a Gage NP 86357015 (NEW 86463399)</t>
  </si>
  <si>
    <t>CAMBIO DE INGENIERIA ALUMINIO | Cambio de ingenieria a Gage NP 85046142 (NEW 86457028) | 3 SEMANAS</t>
  </si>
  <si>
    <t>PV 1455</t>
  </si>
  <si>
    <t>MAN-NVO-CE01</t>
  </si>
  <si>
    <t>MANDRIL CON TAPAS | MANDRIL G9228-0R070 EXPEDITADO</t>
  </si>
  <si>
    <t>PV1455.pdf</t>
  </si>
  <si>
    <t>MAN-NVO-CE02</t>
  </si>
  <si>
    <t>MANDRIL CON TAPAS | MANDRIL GH699-90820 EXPEDITADO</t>
  </si>
  <si>
    <t>MAN-NVO-CE03</t>
  </si>
  <si>
    <t>MANDRIL CON TAPAS | MANDRIL GH699-90830 EXPEDITADO</t>
  </si>
  <si>
    <t>PV 1456</t>
  </si>
  <si>
    <t>MANDRIL CON TAPAS | BKHO0932AB 17-4 PH</t>
  </si>
  <si>
    <t>PV1456.pdf</t>
  </si>
  <si>
    <t>MANDRIL CON TAPAS | BKHO0953AA</t>
  </si>
  <si>
    <t>MANDRIL CON TAPAS | BKHO0954AA</t>
  </si>
  <si>
    <t>MANDRIL CON TAPAS | BKHO0955AA</t>
  </si>
  <si>
    <t>PV 1457</t>
  </si>
  <si>
    <t>Material diverso | NIDO BRAQUET GAUGE NP 86793763</t>
  </si>
  <si>
    <t>PV1457.pdf</t>
  </si>
  <si>
    <t>PV 1458</t>
  </si>
  <si>
    <t>PV1458.pdf</t>
  </si>
  <si>
    <t>PV 1459</t>
  </si>
  <si>
    <t>MANDRIL CON TAPAS | MANDRIL GH619-11080 / EXPEDITADO</t>
  </si>
  <si>
    <t>PV1459.pdf</t>
  </si>
  <si>
    <t>FIX-NVO-CE01</t>
  </si>
  <si>
    <t>FIXTURA INSPECCION RESINA | MANDREL CHECK GH619-11080 / EXPEDITADO</t>
  </si>
  <si>
    <t>FIX-NVO-CE03</t>
  </si>
  <si>
    <t>FIXTURA INSPECCION RESINA | HOSE CHECK GH619-11080 / EXPEDITADO</t>
  </si>
  <si>
    <t>MANDRIL CON TAPAS | MANDRIL GH619-11090 / EXPEDITADO</t>
  </si>
  <si>
    <t>FIX-NVO-CE04</t>
  </si>
  <si>
    <t>FIXTURA INSPECCION RESINA | MANDREL CHECK GH619-11090 / EXPEDITADO</t>
  </si>
  <si>
    <t>FIX-NVO-CE05</t>
  </si>
  <si>
    <t>FIXTURA INSPECCION RESINA | HOSE CHECK GH619-11090 / EXPEDITADO</t>
  </si>
  <si>
    <t>FIX-NVO-CE06</t>
  </si>
  <si>
    <t>FIXTURA INSPECCION RESINA | QC FIXTURE 87209-0G200 / EXPEDITADO</t>
  </si>
  <si>
    <t>PV 1460</t>
  </si>
  <si>
    <t>Material diverso | CAP BULLET para mandriles de diámetro 7.5</t>
  </si>
  <si>
    <t>PV1460.pdf</t>
  </si>
  <si>
    <t>Material diverso | CAP BULLET para mandriles de diámetro 8.5</t>
  </si>
  <si>
    <t>PV 1461</t>
  </si>
  <si>
    <t>MANDRIL SIN TAPAS</t>
  </si>
  <si>
    <t>PV1461.pdf</t>
  </si>
  <si>
    <t>CON</t>
  </si>
  <si>
    <t>TEMPLE</t>
  </si>
  <si>
    <t>SERV-TRAT-01</t>
  </si>
  <si>
    <t>TRATAMIENTOTERMICO MANDRILESACEROINOX416 | LOTE DE TRATAMIENTO TERMICO</t>
  </si>
  <si>
    <t>PV 1462</t>
  </si>
  <si>
    <t>MANDRIL CON TAPAS | Mandril 53042491</t>
  </si>
  <si>
    <t>PV1462.pdf</t>
  </si>
  <si>
    <t>PV 1463</t>
  </si>
  <si>
    <t>3 DIAS</t>
  </si>
  <si>
    <t>CMM INSPECCION DIMENSIONAL FIXTURA | ESCANEO 3D NP 1000017752A0</t>
  </si>
  <si>
    <t>PV1463.pdf</t>
  </si>
  <si>
    <t>CMM INSPECCION DIMENSIONAL FIXTURA | ESCANEO 3D NP 1000023836A0</t>
  </si>
  <si>
    <t>PV 1464</t>
  </si>
  <si>
    <t>MANDRIL CON TAPAS | Mandril 53022492</t>
  </si>
  <si>
    <t>PV1464.pdf</t>
  </si>
  <si>
    <t>PV 1465</t>
  </si>
  <si>
    <t>CAMBIO DE INGENIERIA RESINA | Cambio de ingenieria a Gage NP P00002945-04-AC</t>
  </si>
  <si>
    <t>PV1465.pdf</t>
  </si>
  <si>
    <t>PV 1466</t>
  </si>
  <si>
    <t>TAPAS INOXIDABLE | TAPA OPEN MANDRIL 53121917</t>
  </si>
  <si>
    <t>PV1466.pdf</t>
  </si>
  <si>
    <t>TAPAS INOXIDABLE | TAPA OPEN MANDRIL 53121842</t>
  </si>
  <si>
    <t>TAPAS INOXIDABLE | TAPA OPEN MANDRIL 53121916</t>
  </si>
  <si>
    <t>TAPAS INOXIDABLE | TAPA OPEN MANDRIL 53121839</t>
  </si>
  <si>
    <t>TAPAS INOXIDABLE | TAPA OPEN MANDRIL 53121841</t>
  </si>
  <si>
    <t>TAPAS INOXIDABLE | TAPA OPEN MANDRIL 53121833</t>
  </si>
  <si>
    <t>TAPAS INOXIDABLE | TAPA OPEN MANDRIL 53121822</t>
  </si>
  <si>
    <t>TAPAS INOXIDABLE | TAPA OPEN MANDRIL 52121816</t>
  </si>
  <si>
    <t>TAPAS INOXIDABLE | TAPA OPEN MANDRIL 52121918</t>
  </si>
  <si>
    <t>TAPAS INOXIDABLE | TAPA OPEN MANDRIL 53121924</t>
  </si>
  <si>
    <t>TAPAS INOXIDABLE | TAPA OPEN MANDRIL 52121915</t>
  </si>
  <si>
    <t>TAPAS INOXIDABLE | TAPA OPEN MANDRIL 52101945</t>
  </si>
  <si>
    <t>TAPAS INOXIDABLE | TAPA OPEN MANDRIL 53101943</t>
  </si>
  <si>
    <t>PV 1467</t>
  </si>
  <si>
    <t>RETRABAJO DE FIXTURA DE ALUMINIO | Mantenimiento (repintar colores de tolerancias) 68430009AF Sub ensamble 1</t>
  </si>
  <si>
    <t>PV1467.pdf</t>
  </si>
  <si>
    <t>CMM INSPECCION DIMENSIONAL FIXTURA | CMM y placa de identificación Gauge 68430009AF Sub ensamble 1</t>
  </si>
  <si>
    <t>RETRABAJO DE FIXTURA DE ALUMINIO | Mantenimiento (repintar colores de tolerancias) 68430009AF Sub ensamble 2</t>
  </si>
  <si>
    <t>CMM INSPECCION DIMENSIONAL FIXTURA | CMM y placa de identificación Gauge 68430009AF Sub ensamble 2</t>
  </si>
  <si>
    <t>CAMBIO DE INGENIERIA ALUMINIO | Mantenimiento (repintar colores de tolerancias) 68430009AF Ensamble final</t>
  </si>
  <si>
    <t>PV 1468</t>
  </si>
  <si>
    <t>FIXTURA INSPECCION RESINA | GAUGE P21-M5N512-00 CON SENSOR</t>
  </si>
  <si>
    <t>PV1468.pdf</t>
  </si>
  <si>
    <t>PV 1469</t>
  </si>
  <si>
    <t>FIXTURA INSPECCION RESINA | GAUGE P21-M5N513-00 CON SENSOR</t>
  </si>
  <si>
    <t>PV1469.pdf</t>
  </si>
  <si>
    <t>PV 1470</t>
  </si>
  <si>
    <t>FIXTURA INSPECCION RESINA | GAUGE P21-M5N514-00 CON SENSOR</t>
  </si>
  <si>
    <t>PV1470.pdf</t>
  </si>
  <si>
    <t>PV 1471</t>
  </si>
  <si>
    <t>FIXTURA INSPECCION RESINA | GAUGE P21-M5N515-00</t>
  </si>
  <si>
    <t>PV1471.pdf</t>
  </si>
  <si>
    <t>PV 1472</t>
  </si>
  <si>
    <t>NIDO A GAGE ALUMINIO | NIDO PARA CLIP GAGE NP 86793800</t>
  </si>
  <si>
    <t>PV1472.pdf</t>
  </si>
  <si>
    <t>PV 1473</t>
  </si>
  <si>
    <t>FIXTURA INSPECCION ALUMINIO | GAGE SUBENSAMBLE 360446A</t>
  </si>
  <si>
    <t>PV1473.pdf</t>
  </si>
  <si>
    <t>PV 1474</t>
  </si>
  <si>
    <t>MANDRIL SIN TAPAS | MANDRIL 21501 9MM1E</t>
  </si>
  <si>
    <t>PV1474.pdf</t>
  </si>
  <si>
    <t>PV 1475</t>
  </si>
  <si>
    <t>FIXTURA INSPECCION ALUMINIO | GAGE FINAL 360446A</t>
  </si>
  <si>
    <t>PV1475.pdf</t>
  </si>
  <si>
    <t>PV 1476</t>
  </si>
  <si>
    <t>RETRABAJO DE FIXTURA DE ALUMINIO | Garantia: Mantenimiento a los Anillos (se atoran ) cambio del Pin de Filler Head a Gauges: | 86372154 | 86372153 | 86372152 | 86372151 | 86372150 | 86372149 | 86372148 | 86372147 | 86372146 | 86374317 | 86374315</t>
  </si>
  <si>
    <t>PV1476.pdf</t>
  </si>
  <si>
    <t>PV 1477</t>
  </si>
  <si>
    <t>MANDRIL CON TAPAS | Mandril 53042506</t>
  </si>
  <si>
    <t>PV1477.pdf</t>
  </si>
  <si>
    <t>MANDRIL CON TAPAS | Mandril 53042507</t>
  </si>
  <si>
    <t>MANDRIL CON TAPAS | Mandril 53042508</t>
  </si>
  <si>
    <t>PV 1478</t>
  </si>
  <si>
    <t>MANDRIL SIN TAPAS | TB3G-8C351-SA / 147002-A</t>
  </si>
  <si>
    <t>PV1478.pdf</t>
  </si>
  <si>
    <t>MANDRIL SIN TAPAS | TB3G-8C351-NA / 147004-A</t>
  </si>
  <si>
    <t>MANDRIL SIN TAPAS | TB3G-18K580-NB / 147020-B</t>
  </si>
  <si>
    <t>MANDRIL SIN TAPAS | TB3G-18K580-NB / 147020-C</t>
  </si>
  <si>
    <t>MANDRIL SIN TAPAS | TB3G-8B555-NB / 147010-A</t>
  </si>
  <si>
    <t>PV 1479</t>
  </si>
  <si>
    <t>HERR-DIV-02</t>
  </si>
  <si>
    <t>HERRAMIENTAS DIVERSAS DE ALUMINIO | Mordaza superior JL stellantis</t>
  </si>
  <si>
    <t>PV1479.pdf</t>
  </si>
  <si>
    <t>PV 1480</t>
  </si>
  <si>
    <t>MANDRIL SIN TAPAS | Mandriles 21501 9MM1E Nissan</t>
  </si>
  <si>
    <t>PV1480.pdf</t>
  </si>
  <si>
    <t>PV 1481</t>
  </si>
  <si>
    <t>TAPAS INOXIDABLE | GARANTÍA: Tapa open No. Parte 6844070AA HOSE A</t>
  </si>
  <si>
    <t>PV1481.pdf</t>
  </si>
  <si>
    <t>PV 1482</t>
  </si>
  <si>
    <t>HERRAMIENTAS DIVERSAS ACERO | RUTA HERRAMIENTA KSM</t>
  </si>
  <si>
    <t>PV1482.pdf</t>
  </si>
  <si>
    <t>PV 1483</t>
  </si>
  <si>
    <t>CAMBIO DE INGENIERIA ALUMINIO | Cambio de ingenieria a Gage NP 8856360</t>
  </si>
  <si>
    <t>PV1483.pdf</t>
  </si>
  <si>
    <t>PV 1484</t>
  </si>
  <si>
    <t>RETRABAJO DE FIXTURA DE ALUMINIO | Retrabajo a Gage NP 5A67543</t>
  </si>
  <si>
    <t>PV1484.pdf</t>
  </si>
  <si>
    <t>PV 1485</t>
  </si>
  <si>
    <t>MANDRIL | Modificación de las tapas rotativas considerando agregar la muesca y re trabajar las puntas</t>
  </si>
  <si>
    <t>PV1485.pdf</t>
  </si>
  <si>
    <t>PV 1486</t>
  </si>
  <si>
    <t>MANDRIL CON TAPAS | BKHO0919AB (300127444 Hose E)</t>
  </si>
  <si>
    <t>PV1486.pdf</t>
  </si>
  <si>
    <t>MANDRIL CON TAPAS | 300137948 Hose F</t>
  </si>
  <si>
    <t>MANDRIL CON TAPAS | BKHO0991AA (300137949 Hose A)</t>
  </si>
  <si>
    <t>MANDRIL CON TAPAS | BKHO0920AB (300127446 Hose B)</t>
  </si>
  <si>
    <t>PV 1487</t>
  </si>
  <si>
    <t>MANDRIL | Cambio de Boss fijo a Boss móvil Mandril 52041360</t>
  </si>
  <si>
    <t>PV1487.pdf</t>
  </si>
  <si>
    <t>PV 1488</t>
  </si>
  <si>
    <t>MANDRIL CON TAPAS | MANDRIL GH619-11730</t>
  </si>
  <si>
    <t>PV1488.pdf</t>
  </si>
  <si>
    <t>FIXTURA INSPECCION RESINA | MANDREL CHECK GH619-11730</t>
  </si>
  <si>
    <t>MANDRIL CON TAPAS | MANDRIL GH619-11740</t>
  </si>
  <si>
    <t>FIXTURA INSPECCION RESINA | MANDREL CHECK GH619-11740</t>
  </si>
  <si>
    <t>FIXTURA INSPECCION RESINA | HOSE CHECK GH619-11740</t>
  </si>
  <si>
    <t>FIXTURA INSPECCION RESINA | QC FIXTURE G9290-0G010</t>
  </si>
  <si>
    <t>PV 1489</t>
  </si>
  <si>
    <t>MANDRIL CON TAPAS | MANDREL 310054294</t>
  </si>
  <si>
    <t>PV1489.pdf</t>
  </si>
  <si>
    <t>MANDRIL CON TAPAS | MANDREL 310054295</t>
  </si>
  <si>
    <t>MANDRIL CON TAPAS | MANDREL 310054296</t>
  </si>
  <si>
    <t>MANDRIL CON TAPAS | MANDREL 310054203</t>
  </si>
  <si>
    <t>FIXTURA INSPECCION RESINA | MANDREL CHECK 310054294A</t>
  </si>
  <si>
    <t>FIXTURA INSPECCION RESINA | MANDREL CHECK 310054295A</t>
  </si>
  <si>
    <t>FIXTURA INSPECCION RESINA | MANDREL CHECK 310054296A</t>
  </si>
  <si>
    <t>FIXTURA INSPECCION RESINA | MANDREL CHECK 310054203A</t>
  </si>
  <si>
    <t>PV 1490</t>
  </si>
  <si>
    <t>PV1490.pdf</t>
  </si>
  <si>
    <t>PV 1491</t>
  </si>
  <si>
    <t>MANDRIL CON TAPAS | MANDRIL G9228-0E120</t>
  </si>
  <si>
    <t>PV1491.pdf</t>
  </si>
  <si>
    <t>FIXTURA INSPECCION RESINA | MANDREL CHECK G9228-0E120</t>
  </si>
  <si>
    <t>FIXTURA INSPECCION RESINA | HOSE CHECK G9228-0E120</t>
  </si>
  <si>
    <t>FIXTURA INSPECCION RESINA | QC FIXTURE G9228-0E120</t>
  </si>
  <si>
    <t>MANDRIL CON TAPAS | MANDRIL G9229-0E100</t>
  </si>
  <si>
    <t>FIXTURA INSPECCION RESINA | MANDREL CHECK G9229-0E100</t>
  </si>
  <si>
    <t>FIXTURA INSPECCION RESINA | HOSE CHECK G9229-0E100</t>
  </si>
  <si>
    <t>FIX-NVO-CE07</t>
  </si>
  <si>
    <t>FIXTURA INSPECCION RESINA | QC FIXTURE G9229-0E100</t>
  </si>
  <si>
    <t>PV 1492</t>
  </si>
  <si>
    <t>MANDRIL CON TAPAS | MANDRIL GH619-11770</t>
  </si>
  <si>
    <t>PV1492.pdf</t>
  </si>
  <si>
    <t>FIXTURA INSPECCION RESINA | MANDREL CHECK GH619-11770</t>
  </si>
  <si>
    <t>FIXTURA INSPECCION RESINA | HOSE CHECK GH619-11770</t>
  </si>
  <si>
    <t>MANDRIL CON TAPAS | MANDRIL GH619-11780</t>
  </si>
  <si>
    <t>FIXTURA INSPECCION RESINA | MANDREL CHECK GH619-11780</t>
  </si>
  <si>
    <t>FIXTURA INSPECCION RESINA | HOSE CHECK GH619-11780</t>
  </si>
  <si>
    <t>FIXTURA INSPECCION RESINA | QC FIXTURE G90A8-0G010</t>
  </si>
  <si>
    <t>MANDRIL CON TAPAS | MANDRIL GH619-11790</t>
  </si>
  <si>
    <t>FIX-NVO-CE08</t>
  </si>
  <si>
    <t>FIX-NVO-CE09</t>
  </si>
  <si>
    <t>FIXTURA INSPECCION RESINA | QC FIXTURE G90A9-0G010</t>
  </si>
  <si>
    <t>PV 1493</t>
  </si>
  <si>
    <t>4 A 8 SEMANAS</t>
  </si>
  <si>
    <t>RETRABAJO DE FIXTURA DE ALUMINIO | Modificacion a Gauge Final NP WC2H-18K470-A</t>
  </si>
  <si>
    <t>PV1493.pdf</t>
  </si>
  <si>
    <t>RETRABAJO DE FIXTURA DE ALUMINIO | Modificacion a Gauge de detalle tubo G NP WC2H-18K470-A</t>
  </si>
  <si>
    <t>RETRABAJO DE FIXTURA DE ALUMINIO | Modificacion a Gauge de detalle tubo D NP WC2H-18K470-A</t>
  </si>
  <si>
    <t>RETRABAJO DE FIXTURA DE ALUMINIO | Modificacion a Gauge de detalle tubo E NP WC2H-18K470-A</t>
  </si>
  <si>
    <t>RETRABAJO DE FIXTURA DE ALUMINIO | Modificacion a Gauge de detalle tubo A NP WC2H-18K470-A</t>
  </si>
  <si>
    <t>RETRABAJO DE FIXTURA DE ALUMINIO | Modificacion a Gauge de detalle tubo C NP WC2H-18K470-A</t>
  </si>
  <si>
    <t>RETRABAJO DE FIXTURA DE ALUMINIO | Modificacion a Gauge de detalle tubo F NP WC2H-18K470-A</t>
  </si>
  <si>
    <t>RETRABAJO DE FIXTURA DE ALUMINIO | Modificacion a Gauge Final NP WC2H-19A834-AA</t>
  </si>
  <si>
    <t>RETRABAJO DE FIXTURA DE ALUMINIO | Modificacion a Gauge de detalle tubo D NP WC2H-19A834-AA</t>
  </si>
  <si>
    <t>RETRABAJO DE FIXTURA DE ALUMINIO | Modificacion a Gauge de detalle tubo E NP WC2H-19A834-AA</t>
  </si>
  <si>
    <t>PV 1494</t>
  </si>
  <si>
    <t>MANDRIL CON TAPAS | Mandrels BKHO0784</t>
  </si>
  <si>
    <t>PV1494.pdf</t>
  </si>
  <si>
    <t>MANDRIL CON TAPAS | Mandrels BKHO0762</t>
  </si>
  <si>
    <t>MANDRIL CON TAPAS | Mandrels BKHO0793</t>
  </si>
  <si>
    <t>MANDRIL CON TAPAS | Mandrels BKHO0780</t>
  </si>
  <si>
    <t>MANDRIL CON TAPAS | Mandrels BKHO0792</t>
  </si>
  <si>
    <t>MANDRIL CON TAPAS | Mandrels BKHO0795</t>
  </si>
  <si>
    <t>MANDRIL CON TAPAS | Mandrels BKHO0783</t>
  </si>
  <si>
    <t>MANDRIL CON TAPAS | Mandrels BKHO0723</t>
  </si>
  <si>
    <t>MANDRIL CON TAPAS | Mandrels BKHO0724</t>
  </si>
  <si>
    <t>MANDRIL CON TAPAS | Mandrels BKHO0326</t>
  </si>
  <si>
    <t>MANDRIL CON TAPAS | Mandrels BKHO0327</t>
  </si>
  <si>
    <t>MANDRIL CON TAPAS | Mandrels BKHO0328</t>
  </si>
  <si>
    <t>MANDRIL CON TAPAS | Mandrels BKHO0372</t>
  </si>
  <si>
    <t>MANDRIL CON TAPAS | Mandrels BKHO0373</t>
  </si>
  <si>
    <t>MANDRIL CON TAPAS | Mandrels BKHO0374</t>
  </si>
  <si>
    <t>MANDRIL CON TAPAS | Mandrels BKHO0761</t>
  </si>
  <si>
    <t>MANDRIL CON TAPAS | Mandrels BKHO0760</t>
  </si>
  <si>
    <t>MANDRIL CON TAPAS | Mandrels BKHO0769 SS17-4PH</t>
  </si>
  <si>
    <t>MANDRIL CON TAPAS | Mandrels BKHO0770</t>
  </si>
  <si>
    <t>MANDRIL CON TAPAS | Mandrels BKHO0771</t>
  </si>
  <si>
    <t>MANDRIL CON TAPAS | Mandrels BKHO0381</t>
  </si>
  <si>
    <t>MANDRIL CON TAPAS | SEMAIN- SERVICIOS Y MAQUINADOS F-GER-90 REV 00 | Calle: CARR. DELICIAS-ROSETILLA KM. 1 No. 1200, Col. EL PROGRESO, CP: 33023, DIC-2023 | DELICIAS, CHIHUAHUA, MEXICO, RFC: SSM160526J21 | Fecha del documento: 14/07/2026 Fecha de entrega: 14/07/2026 | Datos del cliente Pedido | TI AUTOMOTIVE REYNOSA ( CL-06) PEDIDO PV 1494 | RFC: TAR1405096Z2 | Fecha y hora: 14/07/2026 | Dirección: Calle: MIKE ALLEN No. SIN NUMERO Lugar de expedición: | Col. PARQUE INDUSTRIAL REYNOSA SECCION NORTE, CP: 88788 | CARR. DELICIAS-ROSETILLA KM. 1 No. 1200, Col. EL | REYNOSA, REYNOSA, TAMAULIPAS | PROGRESO, CP: 33023, DELICIAS, CHIHUAHUA, MEXICO | Tel.: 899 921-4800 | Enviar a: Vendedor : | Dirección envío: | , CP: 88788 | Cantidad Clave Descripción | Mandrels BKHO0763 SS17-4PH</t>
  </si>
  <si>
    <t>MANDRIL CON TAPAS | Mandrels BKHO0775 SS17-4PH</t>
  </si>
  <si>
    <t>MANDRIL CON TAPAS | Mandrels BKHO0772</t>
  </si>
  <si>
    <t>MANDRIL CON TAPAS | Mandrels BKHO0321</t>
  </si>
  <si>
    <t>MANDRIL CON TAPAS | Mandrels BKHO0376</t>
  </si>
  <si>
    <t>MANDRIL CON TAPAS | Mandrels BKHO0377</t>
  </si>
  <si>
    <t>PV 1495</t>
  </si>
  <si>
    <t>CMM INSPECCION DIMENSIONAL FIXTURA | CMM A GAUGE NP 68773686AA</t>
  </si>
  <si>
    <t>PV1495.pdf</t>
  </si>
  <si>
    <t>PV 1497</t>
  </si>
  <si>
    <t>MANDRIL CON TAPAS | MANDRIL 1125312</t>
  </si>
  <si>
    <t>PV1497.pdf</t>
  </si>
  <si>
    <t>MANDRIL CON TAPAS | MANDRIL 1125358</t>
  </si>
  <si>
    <t>MANDRIL CON TAPAS | MANDRIL 1125355</t>
  </si>
  <si>
    <t>MANDRIL CON TAPAS | MANDRIL 1125356</t>
  </si>
  <si>
    <t>PV 1498</t>
  </si>
  <si>
    <t>MANDRIL SIN TAPAS | Flecha Mandril 52121918</t>
  </si>
  <si>
    <t>PV1498.pdf</t>
  </si>
  <si>
    <t>PV 1499</t>
  </si>
  <si>
    <t>FIXTURA INSPECCION RESINA | GAUGE WC44-18C266-AD CON SENSORES</t>
  </si>
  <si>
    <t>PV1499.pdf</t>
  </si>
  <si>
    <t>PV 1500</t>
  </si>
  <si>
    <t>VENTANA GAGE ALUMINIO | Ventana para estampado Gage NP 5A7FC30</t>
  </si>
  <si>
    <t>PV1500.pdf</t>
  </si>
  <si>
    <t>PV 1501</t>
  </si>
  <si>
    <t>MANDRIL | IMPLEMENTACIÓN DE MUESCA EN MANDRIL 53032255</t>
  </si>
  <si>
    <t>PV1501.pdf</t>
  </si>
  <si>
    <t>PV 1502</t>
  </si>
  <si>
    <t>MANDRIL | GARANTÍA CAP BASE 310046992</t>
  </si>
  <si>
    <t>PV1502.pdf</t>
  </si>
  <si>
    <t>PV 1503</t>
  </si>
  <si>
    <t>RETRABAJO DE FIXTURA DE RESINA | Garantía: Canaleta Nueva QC FIXTURE G9236-0G020</t>
  </si>
  <si>
    <t>PV1503.pdf</t>
  </si>
  <si>
    <t>PV 1504</t>
  </si>
  <si>
    <t>HERRAMIENTAS DIVERSAS ACERO | Fixtura de moldeo de manguera NP310049314</t>
  </si>
  <si>
    <t>PV1504.pdf</t>
  </si>
  <si>
    <t>HERRAMIENTAS DIVERSAS ACERO | Fixtura de moldeo de manguera NP310049312</t>
  </si>
  <si>
    <t>HERRAMIENTAS DIVERSAS ACERO | Fixtura de moldeo de manguera NP310049301</t>
  </si>
  <si>
    <t>HERRAMIENTAS DIVERSAS ACERO | Fixtura de moldeo de manguera NP310049307</t>
  </si>
  <si>
    <t>PV 1505</t>
  </si>
  <si>
    <t>7 SEMANAS</t>
  </si>
  <si>
    <t>HERRAMIENTAS DIVERSAS ACERO | Fixtura de moldeo de manguera NP310049318</t>
  </si>
  <si>
    <t>PV1505.pdf</t>
  </si>
  <si>
    <t>HERRAMIENTAS DIVERSAS ACERO | Fixtura de moldeo de manguera NP310049320</t>
  </si>
  <si>
    <t>HERRAMIENTAS DIVERSAS ACERO | Fixtura de moldeo de manguera NP310049305</t>
  </si>
  <si>
    <t>HERRAMIENTAS DIVERSAS ACERO | Fixtura de moldeo de manguera NP310049303</t>
  </si>
  <si>
    <t>HERRAMIENTAS DIVERSAS ACERO | Fixtura de moldeo de manguera NP310049316</t>
  </si>
  <si>
    <t>HERRAMIENTAS DIVERSAS ACERO | Fixtura de moldeo de manguera NP310049309</t>
  </si>
  <si>
    <t>PV 1506</t>
  </si>
  <si>
    <t>16 SEMANAS</t>
  </si>
  <si>
    <t>PV1506.pdf</t>
  </si>
  <si>
    <t>PV 1507</t>
  </si>
  <si>
    <t>CAMBIO DE INGENIERIA RESINA | Cambio de ingenieria a Gage NP 68429996AF</t>
  </si>
  <si>
    <t>PV1507.pdf</t>
  </si>
  <si>
    <t>PV 1508</t>
  </si>
  <si>
    <t>CAMBIO DE INGENIERIA RESINA | Cambio de ingenieria a Gage NP 68430009AG</t>
  </si>
  <si>
    <t>PV1508.pdf</t>
  </si>
  <si>
    <t>CMM INSPECCION DIMENSIONAL FIXTURA | CMM a Gage NP 68430009AG</t>
  </si>
  <si>
    <t>CAMBIO DE INGENIERIA ALUMINIO | Cambio de ingenieria a Gage Subensamble 1 NP 68430009AG</t>
  </si>
  <si>
    <t>CMM INSPECCION DIMENSIONAL FIXTURA | CMM a Gage Subensamble 1 NP 68430009AG</t>
  </si>
  <si>
    <t>CMM INSPECCION DIMENSIONAL FIXTURA | CMM a Gage Subensamble 2 NP 68430009AG</t>
  </si>
  <si>
    <t>PV 1509</t>
  </si>
  <si>
    <t>MANDRIL CON TAPAS | 52042406</t>
  </si>
  <si>
    <t>PV1509.pdf</t>
  </si>
  <si>
    <t>PV 1510</t>
  </si>
  <si>
    <t>MANDRIL CON TAPAS | 52042408</t>
  </si>
  <si>
    <t>PV1510.pdf</t>
  </si>
  <si>
    <t>PV 1511</t>
  </si>
  <si>
    <t>MANDRIL | Implementación de muesca mandril 53042414</t>
  </si>
  <si>
    <t>PV1511.pdf</t>
  </si>
  <si>
    <t>PV 1512</t>
  </si>
  <si>
    <t>MANDRIL | Implementación de muesca al mandril 530102473</t>
  </si>
  <si>
    <t>PV1512.pdf</t>
  </si>
  <si>
    <t>PV 1513</t>
  </si>
  <si>
    <t>MANDRIL SIN TAPAS | MANDRELS BKHO0959AAF00</t>
  </si>
  <si>
    <t>PV1513.pdf</t>
  </si>
  <si>
    <t>FIXTURA INSPECCION RESINA | CHECKING FIXTURE BKHO0959AAF00</t>
  </si>
  <si>
    <t>PV 1514</t>
  </si>
  <si>
    <t>FIXTURA INSPECCION ALUMINIO | GAUGE 379439E</t>
  </si>
  <si>
    <t>PV1514.pdf</t>
  </si>
  <si>
    <t>PV 1515</t>
  </si>
  <si>
    <t>CAMBIO DE INGENIERIA RESINA | Cambio de ingenieria a Gage NP WC24-8B273-AD</t>
  </si>
  <si>
    <t>PV1515.pdf</t>
  </si>
  <si>
    <t>PV 1516</t>
  </si>
  <si>
    <t>MANDRIL SIN TAPAS | Flecha y tapa boss movil para mandril 52041157</t>
  </si>
  <si>
    <t>PV1516.pdf</t>
  </si>
  <si>
    <t>PV 1517</t>
  </si>
  <si>
    <t>HERRAMIENTAS DIVERSAS ACERO | RUTA HERRAMIENTA KSM LADO DERECHO</t>
  </si>
  <si>
    <t>PV1517.pdf</t>
  </si>
  <si>
    <t>PV 1518</t>
  </si>
  <si>
    <t>MANDRIL CON TAPAS | Mandril 53042510</t>
  </si>
  <si>
    <t>PV1518.pdf</t>
  </si>
  <si>
    <t>PV 1519</t>
  </si>
  <si>
    <t>MANDRIL CON TAPAS | MANDRIL GH619-12320</t>
  </si>
  <si>
    <t>PV1519.pdf</t>
  </si>
  <si>
    <t>FIXTURA INSPECCION RESINA | MANDREL CHECK GH619-12320</t>
  </si>
  <si>
    <t>FIXTURA INSPECCION RESINA | HOSE CHECK GH619-12320</t>
  </si>
  <si>
    <t>FIXTURA INSPECCION RESINA | QC FIXTURE G9372-0G010</t>
  </si>
  <si>
    <t>PV 1520</t>
  </si>
  <si>
    <t>FIXTURA INSPECCION RESINA | GAUGE VX63-6B851-HXA</t>
  </si>
  <si>
    <t>PV1520.pdf</t>
  </si>
  <si>
    <t>PV 1521</t>
  </si>
  <si>
    <t>FIXTURA INSPECCION RESINA | GAUGE VX63-8B273-HXA</t>
  </si>
  <si>
    <t>PV1521.pdf</t>
  </si>
  <si>
    <t>PV 1522</t>
  </si>
  <si>
    <t>FIXTURA INSPECCION RESINA | GAUGE VX63-8B550-HCA</t>
  </si>
  <si>
    <t>PV1522.pdf</t>
  </si>
  <si>
    <t>PV 1523</t>
  </si>
  <si>
    <t>FIXTURA INSPECCION RESINA | GAUGE VX63-8D050-HXA</t>
  </si>
  <si>
    <t>PV1523.pdf</t>
  </si>
  <si>
    <t>PV 1524</t>
  </si>
  <si>
    <t>FIXTURA INSPECCION RESINA | GAUGE VX63-8D059-HFA</t>
  </si>
  <si>
    <t>PV1524.pdf</t>
  </si>
  <si>
    <t>PV 1525</t>
  </si>
  <si>
    <t>FIXTURA INSPECCION RESINA | GAUGE VX63-8D059-HXA</t>
  </si>
  <si>
    <t>PV1525.pdf</t>
  </si>
  <si>
    <t>PV 1526</t>
  </si>
  <si>
    <t>FIXTURA INSPECCION RESINA | GAUGE VX63-10C705-HBA</t>
  </si>
  <si>
    <t>PV1526.pdf</t>
  </si>
  <si>
    <t>PV 1527</t>
  </si>
  <si>
    <t>MANDRIL CON TAPAS | Mandril 53051462</t>
  </si>
  <si>
    <t>PV1527.pdf</t>
  </si>
  <si>
    <t>MANDRIL CON TAPAS | Mandril 53051463</t>
  </si>
  <si>
    <t>MANDRIL CON TAPAS | Mandril 53051464</t>
  </si>
  <si>
    <t>MANDRIL CON TAPAS | Mandril 53051549</t>
  </si>
  <si>
    <t>PV 1528</t>
  </si>
  <si>
    <t>VENTANA GAGE ALUMINIO | Retrabajo a ventana de inspección BMW G65</t>
  </si>
  <si>
    <t>PV1528.pdf</t>
  </si>
  <si>
    <t>PV 1529</t>
  </si>
  <si>
    <t>MANDRIL CON TAPAS | Mandril 52102512</t>
  </si>
  <si>
    <t>PV1529.pdf</t>
  </si>
  <si>
    <t>SERVICIO TEMPLE | LOTE TRATAMIENTO TERMICO</t>
  </si>
  <si>
    <t>PV 1530</t>
  </si>
  <si>
    <t>12 DÍAS</t>
  </si>
  <si>
    <t>FIXTURA INSPECCION RESINA | GAUGE P00025424-02-A</t>
  </si>
  <si>
    <t>PV1530.pdf</t>
  </si>
  <si>
    <t>PV 1531</t>
  </si>
  <si>
    <t>FIXTURA INSPECCION RESINA | GAUGE P00025425-02-A</t>
  </si>
  <si>
    <t>PV1531.pdf</t>
  </si>
  <si>
    <t>PV 1532</t>
  </si>
  <si>
    <t>FIXTURA INSPECCION RESINA | GAUGE P00025426-02-A</t>
  </si>
  <si>
    <t>PV1532.pdf</t>
  </si>
  <si>
    <t>PV 1533</t>
  </si>
  <si>
    <t>MANDRIL | Implementación de muesca a mandril 530102473</t>
  </si>
  <si>
    <t>PV1533.pdf</t>
  </si>
  <si>
    <t>PV 1534</t>
  </si>
  <si>
    <t>MANDRIL CON TAPAS | MANDRIL GH319-89170 SS17-4PH</t>
  </si>
  <si>
    <t>PV1534.pdf</t>
  </si>
  <si>
    <t>FIXTURA INSPECCION RESINA | MANDREL CHECK GH319-89170</t>
  </si>
  <si>
    <t>FIXTURA INSPECCION RESINA | HOSE CHECK GH319-89170</t>
  </si>
  <si>
    <t>FIXTURA INSPECCION RESINA | QC FIXTURE GH319-89170</t>
  </si>
  <si>
    <t>MANDRIL CON TAPAS | MANDRIL GH319-89180 SS17-4PH</t>
  </si>
  <si>
    <t>FIXTURA INSPECCION RESINA | MANDREL CHECK GH319-89180</t>
  </si>
  <si>
    <t>FIXTURA INSPECCION RESINA | HOSE CHECK GH319-89180</t>
  </si>
  <si>
    <t>FIXTURA INSPECCION RESINA | QC FIXTURE GH319-89180</t>
  </si>
  <si>
    <t>PV 1535</t>
  </si>
  <si>
    <t>HERR-GEN-06</t>
  </si>
  <si>
    <t>PIN ACERO | Envio de piezas para Gauge NP MB3G-8D036-AG</t>
  </si>
  <si>
    <t>PV1535.pdf</t>
  </si>
  <si>
    <t>PV 1536</t>
  </si>
  <si>
    <t>RETRABAJO DE FIXTURA DE RESINA | Retrabajo en nido para conector a Gage NP P00003600-05-AA</t>
  </si>
  <si>
    <t>PV1536.pdf</t>
  </si>
  <si>
    <t>RETRABAJO DE FIXTURA DE RESINA | Retrabajo en nido para conector a Gage NP P00002984-05-AB</t>
  </si>
  <si>
    <t>PV 1537</t>
  </si>
  <si>
    <t>TAPAS INOXIDABLE | Tapa Open y Boss mandril 52102509</t>
  </si>
  <si>
    <t>PV1537.pdf</t>
  </si>
  <si>
    <t>PV 1538</t>
  </si>
  <si>
    <t>CAMBIO DE INGENIERIA RESINA | Cambio de ingenieria a Gage NP 68430009AF</t>
  </si>
  <si>
    <t>PV1538.pdf</t>
  </si>
  <si>
    <t>PV 1539</t>
  </si>
  <si>
    <t>TAPAS INOXIDABLE | Retrabajo tapa Open 4 drains extra</t>
  </si>
  <si>
    <t>PV1539.pdf</t>
  </si>
  <si>
    <t>TAPAS INOXIDABLE | Retrabajo tapa Boss 4 drains extra</t>
  </si>
  <si>
    <t>PV 1540</t>
  </si>
  <si>
    <t>FIXTURA INSPECCION RESINA | GAUGE WC34-8D012-GD</t>
  </si>
  <si>
    <t>PV1540.pdf</t>
  </si>
  <si>
    <t>PV 1541</t>
  </si>
  <si>
    <t>TAPAS INOXIDABLE | 4 juegos de tapas (boss y open)</t>
  </si>
  <si>
    <t>PV1541.pdf</t>
  </si>
  <si>
    <t>PV 1542</t>
  </si>
  <si>
    <t>MANDRIL SIN TAPAS | MANDRIL 310055869</t>
  </si>
  <si>
    <t>PV1542.pdf</t>
  </si>
  <si>
    <t>MANDRIL SIN TAPAS | MANDRIL 310055870</t>
  </si>
  <si>
    <t>MANDRIL SIN TAPAS | MANDRIL 310055871</t>
  </si>
  <si>
    <t>MANDRIL SIN TAPAS | MANDRIL 310055872</t>
  </si>
  <si>
    <t>FIXTURA INSPECCION RESINA | MANDREL CHECK 310055869</t>
  </si>
  <si>
    <t>FIXTURA INSPECCION RESINA | MANDREL CHECK 310055870</t>
  </si>
  <si>
    <t>FIXTURA INSPECCION RESINA | MANDREL CHECK 310055871</t>
  </si>
  <si>
    <t>FIXTURA INSPECCION RESINA | MANDREL CHECK 310055872</t>
  </si>
  <si>
    <t>PV 1543</t>
  </si>
  <si>
    <t>FIXTURA INSPECCION RESINA | GAUGE VZ7T-10A818-AA</t>
  </si>
  <si>
    <t>PV1543.pdf</t>
  </si>
  <si>
    <t>PV 1544</t>
  </si>
  <si>
    <t>MANDRIL CON TAPAS | MANDRIL 310038506</t>
  </si>
  <si>
    <t>PV1544.pdf</t>
  </si>
  <si>
    <t>PV 1545</t>
  </si>
  <si>
    <t>MANDRIL SIN TAPAS | MANDRIL P6007498A00 SS17-4PH</t>
  </si>
  <si>
    <t>PV1545.pdf</t>
  </si>
  <si>
    <t>PV 1546</t>
  </si>
  <si>
    <t>CAMBIO DE INGENIERIA ALUMINIO | Cambio de ingenieria a Gage NP 85046162</t>
  </si>
  <si>
    <t>PV1546.pdf</t>
  </si>
  <si>
    <t>PV 1547</t>
  </si>
  <si>
    <t>TAPAS INOXIDABLE | CAMBIO DE BOSS FIJO A BOSS MOVIL MANDRIL 53041184</t>
  </si>
  <si>
    <t>PV1547.pdf</t>
  </si>
  <si>
    <t>PV 1548</t>
  </si>
  <si>
    <t>15 dias</t>
  </si>
  <si>
    <t>FIXTURA INSPECCION ALUMINIO | GAUGE GD&amp;T 86457025</t>
  </si>
  <si>
    <t>PV1548.pdf</t>
  </si>
  <si>
    <t>PV 1549</t>
  </si>
  <si>
    <t>MANDRIL CON TAPAS | MANDRIL SIN TAPON M-68777046AB-A SS17-4PH</t>
  </si>
  <si>
    <t>PV1549.pdf</t>
  </si>
  <si>
    <t>PV 1550</t>
  </si>
  <si>
    <t>CAMBIO DE INGENIERIA ALUMINIO | Cambio de ingenieria a Gage P1041299A00 (NEW P1041299A01)</t>
  </si>
  <si>
    <t>PV1550.pdf</t>
  </si>
  <si>
    <t>CAMBIO DE INGENIERIA ALUMINIO | Cambio de ingenieria a Gage P1041518A00 (NEW P1041518A01)</t>
  </si>
  <si>
    <t>PV 1551</t>
  </si>
  <si>
    <t>MANDRIL CON TAPAS | MANDREL 16207-F0170</t>
  </si>
  <si>
    <t>PV1551.pdf</t>
  </si>
  <si>
    <t>MANDRIL CON TAPAS | MANDREL GH699-A1190</t>
  </si>
  <si>
    <t>MANDRIL CON TAPAS | GH699-A1200 MANDREL</t>
  </si>
  <si>
    <t>MAN-NVO-CE04</t>
  </si>
  <si>
    <t>MANDRIL CON TAPAS | MANDREL G923A-0G010</t>
  </si>
  <si>
    <t>PV 1552</t>
  </si>
  <si>
    <t>CALIBRACION A EQUIPO | ESCANEO 3D ENSAMBLE FORD NP NZ61-10C703-HB</t>
  </si>
  <si>
    <t>PV1552.pdf</t>
  </si>
  <si>
    <t>PV 1553</t>
  </si>
  <si>
    <t>IMPRESION | FIXTURA IMPRESA 3D NP LG1C0016AA</t>
  </si>
  <si>
    <t>PV1553.pdf</t>
  </si>
  <si>
    <t>IMPRESION | FIXTURA IMPRESA 3D NP LF004628AA</t>
  </si>
  <si>
    <t>IMPRESION | FIXTURA IMPRESA 3D NP LG1C0017AA</t>
  </si>
  <si>
    <t>PV 1554</t>
  </si>
  <si>
    <t>MANDRIL CON TAPAS | Mandrels with caps 39-0001-3754</t>
  </si>
  <si>
    <t>PV1554.pdf</t>
  </si>
  <si>
    <t>MANDRIL CON TAPAS | Mandrels with caps 39-0001-3755</t>
  </si>
  <si>
    <t>MANDRIL CON TAPAS | Mandrels with caps 41-0000-2312</t>
  </si>
  <si>
    <t>MANDRIL CON TAPAS | Mandrels with caps 41-0000-2311</t>
  </si>
  <si>
    <t>PV 1555</t>
  </si>
  <si>
    <t>CAMBIO DE INGENIERIA ALUMINIO | Cambio de ingenieria a Gage NP 5A69FE6</t>
  </si>
  <si>
    <t>PV1555.pdf</t>
  </si>
  <si>
    <t>PV 1556</t>
  </si>
  <si>
    <t>MANDRIL CON TAPAS | Mandril 53042444</t>
  </si>
  <si>
    <t>PV1556.pdf</t>
  </si>
  <si>
    <t>PV 1557</t>
  </si>
  <si>
    <t>2 A 3 DÍAS</t>
  </si>
  <si>
    <t>TAPAS INOXIDABLE | Juego de tapas (Open y Boss) Mandril 52022393</t>
  </si>
  <si>
    <t>PV1557.pdf</t>
  </si>
  <si>
    <t>PV 1558</t>
  </si>
  <si>
    <t>RETRABAJO DE FIXTURA DE ALUMINIO | Retrabajo a Gauge NP 8490607</t>
  </si>
  <si>
    <t>PV1558.pdf</t>
  </si>
  <si>
    <t>PV 1559</t>
  </si>
  <si>
    <t>MANDRIL CON TAPAS | Mandril 53032527</t>
  </si>
  <si>
    <t>PV1559.pdf</t>
  </si>
  <si>
    <t>MANDRIL CON TAPAS | Mandril 53032528</t>
  </si>
  <si>
    <t>MANDRIL CON TAPAS | Mandril 53032529</t>
  </si>
  <si>
    <t>MANDRIL CON TAPAS | Mandril 53032530</t>
  </si>
  <si>
    <t>MANDRIL CON TAPAS | Mandril 53032531</t>
  </si>
  <si>
    <t>MANDRIL CON TAPAS | Mandril 53032532</t>
  </si>
  <si>
    <t>MANDRIL CON TAPAS | Mandril 53032533</t>
  </si>
  <si>
    <t>MANDRIL CON TAPAS | Mandril 53032534</t>
  </si>
  <si>
    <t>PV 1560</t>
  </si>
  <si>
    <t>RETRABAJO DE FIXTURA DE RESINA | Implementación de hoquillas a Gage NP P00025424-02-A</t>
  </si>
  <si>
    <t>PV1560.pdf</t>
  </si>
  <si>
    <t>RETRABAJO DE FIXTURA DE RESINA | Implementación de hoquillas a Gage NP P00025425-02-A</t>
  </si>
  <si>
    <t>RETRABAJO DE FIXTURA DE RESINA | Implementación de hoquillas a Gage NP P00025426-02-A</t>
  </si>
  <si>
    <t>PV 1561</t>
  </si>
  <si>
    <t>RETRABAJO DE FIXTURA DE RESINA | Implementación de pokayoke para 3 backets a Gage NP 68773686AA</t>
  </si>
  <si>
    <t>PV1561.pdf</t>
  </si>
  <si>
    <t>PV 1562</t>
  </si>
  <si>
    <t>MANDRIL SIN TAPAS | MANDRELS E0811019</t>
  </si>
  <si>
    <t>PV1562.pdf</t>
  </si>
  <si>
    <t>FIXTURA INSPECCION RESINA | CHECK BOARD E0811019</t>
  </si>
  <si>
    <t>MANDRIL SIN TAPAS | MANDRELS E0811020</t>
  </si>
  <si>
    <t>FIXTURA INSPECCION RESINA | CHECK BOARD E0811020</t>
  </si>
  <si>
    <t>MANDRIL SIN TAPAS | MANDRELS E0811029</t>
  </si>
  <si>
    <t>FIXTURA INSPECCION RESINA | CHECK BOARD E0811029</t>
  </si>
  <si>
    <t>PV 1563</t>
  </si>
  <si>
    <t>MANDRIL CON TAPAS | P1040833A00</t>
  </si>
  <si>
    <t>PV1563.pdf</t>
  </si>
  <si>
    <t>MANDRIL CON TAPAS | P1040834A00</t>
  </si>
  <si>
    <t>MANDRIL CON TAPAS | P1040887A00</t>
  </si>
  <si>
    <t>MANDRIL CON TAPAS | P1040894A00</t>
  </si>
  <si>
    <t>MANDRIL CON TAPAS | P1040922A00</t>
  </si>
  <si>
    <t>MANDRIL CON TAPAS | P1040920A00</t>
  </si>
  <si>
    <t>MANDRIL CON TAPAS | P1040928A00</t>
  </si>
  <si>
    <t>MANDRIL CON TAPAS | P1040930A00</t>
  </si>
  <si>
    <t>PV 1564</t>
  </si>
  <si>
    <t>CAMBIO DE INGENIERIA ALUMINIO | Cambio de ingenieria a Gauge NP 86804823</t>
  </si>
  <si>
    <t>PV1564.pdf</t>
  </si>
  <si>
    <t>SERVICIO DE ENVIO | Servicio expeditado (TE 2 semanas) Retrabajo a Gauge 86804823</t>
  </si>
  <si>
    <t>PV 1565</t>
  </si>
  <si>
    <t>EXPEDITADO 3 A 4 SEMANAS</t>
  </si>
  <si>
    <t>FIXTURA INSPECCION ALUMINIO | GAUGE 42939496</t>
  </si>
  <si>
    <t>PV1565.pdf</t>
  </si>
  <si>
    <t>SERVICIO DE ENVIO | SERVICIO EXPEDITADO GAUGE 42939496</t>
  </si>
  <si>
    <t>PV 1566</t>
  </si>
  <si>
    <t>MANDRIL SIN TAPAS | MANDRIL 69-5153 SS17-4</t>
  </si>
  <si>
    <t>PV1566.pdf</t>
  </si>
  <si>
    <t>PV 1567</t>
  </si>
  <si>
    <t>FIXTURA INSPECCION RESINA | 68777803AB SUBENSAMBLE 2</t>
  </si>
  <si>
    <t>PV1567.pdf</t>
  </si>
  <si>
    <t>FIXTURA INSPECCION RESINA | 68777803AB SUBENSAMBLE 3</t>
  </si>
  <si>
    <t>FIXTURA INSPECCION RESINA | 68777803AB FINAL SIN SENSORES</t>
  </si>
  <si>
    <t>FIXTURA INSPECCION RESINA | 68777810AA</t>
  </si>
  <si>
    <t>FIXTURA INSPECCION RESINA | 68777848AA CON SENSORES</t>
  </si>
  <si>
    <t>PV 1568</t>
  </si>
  <si>
    <t>CAMBIO DE INGENIERIA RESINA | Cambio de ingenieria a Gage NP WK41-9G291-CB / WK41-9G291-AB</t>
  </si>
  <si>
    <t>PV1568.pdf</t>
  </si>
  <si>
    <t>PV 1569</t>
  </si>
  <si>
    <t>CAMBIO DE INGENIERIA ALUMINIO | Cambio de ingenieria a Gage NP 5A67557</t>
  </si>
  <si>
    <t>PV1569.pdf</t>
  </si>
  <si>
    <t>PV 1570</t>
  </si>
  <si>
    <t>FIXTURA INSPECCION RESINA | MANDREL CHECK 16264-F0140</t>
  </si>
  <si>
    <t>PV1570.pdf</t>
  </si>
  <si>
    <t>FIXTURA INSPECCION RESINA | HOSE CHECK16264-F0140</t>
  </si>
  <si>
    <t>MANDRIL CON TAPAS | MANDRIL 16264-F0140</t>
  </si>
  <si>
    <t>PV 1571</t>
  </si>
  <si>
    <t>FIXTURA INSPECCION RESINA | GAUGE VR3V-8B273-AA</t>
  </si>
  <si>
    <t>PV1571.pdf</t>
  </si>
  <si>
    <t>FIXTURA INSPECCION RESINA | GAUGE VR3V-8B274-AA</t>
  </si>
  <si>
    <t>PV 1572</t>
  </si>
  <si>
    <t>FIXTURA INSPECCION RESINA | Cambio de ingenieria a Gage NP G9228-08010-A</t>
  </si>
  <si>
    <t>PV1572.pdf</t>
  </si>
  <si>
    <t>PV 1573</t>
  </si>
  <si>
    <t>PV1573.pdf</t>
  </si>
  <si>
    <t>PV 1574</t>
  </si>
  <si>
    <t>FIXTURA INSPECCION RESINA | CHECKING FIXTURE 10277008</t>
  </si>
  <si>
    <t>PV1574.pdf</t>
  </si>
  <si>
    <t>FIXTURA INSPECCION RESINA | CHECKING FIXTURE 10277007</t>
  </si>
  <si>
    <t>PV 1575</t>
  </si>
  <si>
    <t>MANDRIL SIN TAPAS | MANDREL 300136167</t>
  </si>
  <si>
    <t>PV1575.pdf</t>
  </si>
  <si>
    <t>FIXTURA INSPECCION RESINA | CHECK BOARD 30016167</t>
  </si>
  <si>
    <t>PV 1576</t>
  </si>
  <si>
    <t>MANDRIL CON TAPAS | Mandril 53042540</t>
  </si>
  <si>
    <t>PV1576.pdf</t>
  </si>
  <si>
    <t>MANDRIL CON TAPAS | Mandril 53042541</t>
  </si>
  <si>
    <t>PV 1577</t>
  </si>
  <si>
    <t>RETRABAJO DE FIXTURA DE ALUMINIO | Retrabajo a Gage NP 5A69FE6</t>
  </si>
  <si>
    <t>PV1577.pdf</t>
  </si>
  <si>
    <t>PV 1578</t>
  </si>
  <si>
    <t>TAPAS INOXIDABLE | Boss movil para mandril 5304912</t>
  </si>
  <si>
    <t>PV1578.pdf</t>
  </si>
  <si>
    <t>PV 1579</t>
  </si>
  <si>
    <t>RETRABAJO DE FIXTURA DE RESINA | Retrabajo a Gage NP P00002945-04-AC</t>
  </si>
  <si>
    <t>PV1579.pdf</t>
  </si>
  <si>
    <t>RETRABAJO DE FIXTURA DE RESINA | Retrabajo a Gage NP P00002984-05-AB</t>
  </si>
  <si>
    <t>RETRABAJO DE FIXTURA DE RESINA | Retrabajo a Gage NP P00002987-03-AB</t>
  </si>
  <si>
    <t>RETRABAJO DE FIXTURA DE RESINA | Retrabajo a Gage NP P00003034-04-AB</t>
  </si>
  <si>
    <t>RETRABAJO DE FIXTURA DE RESINA | Retrabajo a Gage NP P00003438-04-AC</t>
  </si>
  <si>
    <t>RETRABAJO DE FIXTURA DE RESINA | Retrabajo a Gage NP P00003600-05-AA</t>
  </si>
  <si>
    <t>RETRABAJO DE FIXTURA DE RESINA | Retrabajo a Gage NP P00003602-04-AB</t>
  </si>
  <si>
    <t>RETRABAJO DE FIXTURA DE RESINA | Retrabajo a Gage NP P00003886-04-AA</t>
  </si>
  <si>
    <t>RETRABAJO DE FIXTURA DE RESINA | Retrabajo a Gage NP P00004658-04-AB</t>
  </si>
  <si>
    <t>RETRABAJO DE FIXTURA DE RESINA | Retrabajo a Gage NP P00004661-04-AB</t>
  </si>
  <si>
    <t>RETRABAJO DE FIXTURA DE RESINA | Retrabajo a Gage NP P00006690-02-AB</t>
  </si>
  <si>
    <t>RETRABAJO DE FIXTURA DE RESINA | Retrabajo a Gage NP P00006711-02-AB</t>
  </si>
  <si>
    <t>RETRABAJO DE FIXTURA DE RESINA | Retrabajo a Gage NP P00007034-03-AA</t>
  </si>
  <si>
    <t>PV 1580</t>
  </si>
  <si>
    <t>PIN ACERO | Retrabajo PIN Gauge WC2H-19A834-AD</t>
  </si>
  <si>
    <t>PV1580.pdf</t>
  </si>
  <si>
    <t>PV 1581</t>
  </si>
  <si>
    <t>RETRABAJO DE FIXTURA DE ALUMINIO | Retrabajo a Gage NP 5A69FE3</t>
  </si>
  <si>
    <t>PV1581.pdf</t>
  </si>
  <si>
    <t>RETRABAJO DE FIXTURA DE ALUMINIO | Retrabajo a Gage NP 5A69FE4</t>
  </si>
  <si>
    <t>RETRABAJO DE FIXTURA DE ALUMINIO | Retrabajo a Gage NP 5A69FE8</t>
  </si>
  <si>
    <t>RETRABAJO DE FIXTURA DE ALUMINIO | Retrabajo a Gage NP 5A69FE9</t>
  </si>
  <si>
    <t>RETRABAJO DE FIXTURA DE ALUMINIO | Retrabajo a Gage NP 5A69FF0</t>
  </si>
  <si>
    <t>RETRABAJO DE FIXTURA DE ALUMINIO | Retrabajo a Gage NP 5A69FF2</t>
  </si>
  <si>
    <t>RETRABAJO DE FIXTURA DE ALUMINIO | Retrabajo a Gage NP 5A69FF3</t>
  </si>
  <si>
    <t>RETRABAJO DE FIXTURA DE ALUMINIO | Retrabajo a Gage NP 5A69FF4</t>
  </si>
  <si>
    <t>RETRABAJO DE FIXTURA DE ALUMINIO | Retrabajo a Gage NP 5A69FF5</t>
  </si>
  <si>
    <t>PV 1582</t>
  </si>
  <si>
    <t>CAMBIO DE INGENIERIA RESINA | Cambio de ingenieria a Gage NP 68429997AH</t>
  </si>
  <si>
    <t>PV1582.pdf</t>
  </si>
  <si>
    <t>PV 1583</t>
  </si>
  <si>
    <t>PV1583.pdf</t>
  </si>
  <si>
    <t>PV 1584</t>
  </si>
  <si>
    <t>MANDRIL CON TAPAS | MANDRIL 310055698</t>
  </si>
  <si>
    <t>PV1584.pdf</t>
  </si>
  <si>
    <t>PV 1585</t>
  </si>
  <si>
    <t>FIXTURA INSPECCION ALUMINIO | BD GAUGE 68773159AA TUBE A</t>
  </si>
  <si>
    <t>PV1585.pdf</t>
  </si>
  <si>
    <t>FIXTURA INSPECCION ALUMINIO | BD GAUGE 68773159AA TUBE C</t>
  </si>
  <si>
    <t>PV 1586</t>
  </si>
  <si>
    <t>MANDRIL CON TAPAS | MANDRIL GH319-89480</t>
  </si>
  <si>
    <t>PV1586.pdf</t>
  </si>
  <si>
    <t>FIXTURA INSPECCION RESINA | MANDREL CHECK GH319-89480</t>
  </si>
  <si>
    <t>FIXTURA INSPECCION RESINA | HOSE CHECK GH319-89480</t>
  </si>
  <si>
    <t>FIXTURA INSPECCION RESINA | QC FIXTURE 23820-F2130</t>
  </si>
  <si>
    <t>MANDRIL CON TAPAS | MANDRIL GH319-89490</t>
  </si>
  <si>
    <t>FIXTURA INSPECCION RESINA | MANDREL CHECK GH319-89490</t>
  </si>
  <si>
    <t>FIXTURA INSPECCION RESINA | HOSE CHECK GH319-89490</t>
  </si>
  <si>
    <t>FIXTURA INSPECCION RESINA | QC FIXTURE 23826-F2510</t>
  </si>
  <si>
    <t>PV 1587</t>
  </si>
  <si>
    <t>PV1587.pdf</t>
  </si>
  <si>
    <t>PV 1588</t>
  </si>
  <si>
    <t>FIXTURA INSPECCION RESINA | GAUGE NP 379572D</t>
  </si>
  <si>
    <t>PV1588.pdf</t>
  </si>
  <si>
    <t>FIXTURA INSPECCION RESINA | GAUGE NP 379592C</t>
  </si>
  <si>
    <t>PV 1589</t>
  </si>
  <si>
    <t>MAN-NVO-DE01</t>
  </si>
  <si>
    <t>MANDRIL DE FORMADO | Fixtura de moldeo de manguera NP310049301</t>
  </si>
  <si>
    <t>PV1589.pdf</t>
  </si>
  <si>
    <t>PV 1590</t>
  </si>
  <si>
    <t>RETRABAJO DE FIXTURA DE ALUMINIO | Envio de componentes para Gauge NP RB3G-8B274-BD</t>
  </si>
  <si>
    <t>PV1590.pdf</t>
  </si>
  <si>
    <t>PV 1591</t>
  </si>
  <si>
    <t>RETRABAJO DE FIXTURA DE ALUMINIO | Fabricación e instalación en planta de piezas Gauge NP AVX082</t>
  </si>
  <si>
    <t>PV1591.pdf</t>
  </si>
  <si>
    <t>RETRABAJO DE FIXTURA DE ALUMINIO | Fabricación e instalación en planta de piezas Gauge NP AVX081</t>
  </si>
  <si>
    <t>RETRABAJO DE FIXTURA DE ALUMINIO | Fabricación e instalación en planta de piezas Gauge NP AVX084</t>
  </si>
  <si>
    <t>RETRABAJO DE FIXTURA DE ALUMINIO | Fabricación e instalación en planta de piezas Gauge NP AVX085</t>
  </si>
  <si>
    <t>RETRABAJO DE FIXTURA DE ALUMINIO | Fabricación e instalación en planta de piezas Gauge NP AVX086</t>
  </si>
  <si>
    <t>RETRABAJO DE FIXTURA DE ALUMINIO | Fabricación e instalación en planta de piezas Gauge NP AVX087</t>
  </si>
  <si>
    <t>RETRABAJO DE FIXTURA DE ALUMINIO | Fabricación e instalación en planta de piezas Gauge NP AVX089</t>
  </si>
  <si>
    <t>RETRABAJO DE FIXTURA DE ALUMINIO | Fabricación e instalación en planta de piezas Gauge NP AVX090</t>
  </si>
  <si>
    <t>PV 1592</t>
  </si>
  <si>
    <t>Material diverso | PERILLA PARA PIN GAUGE NP 2151</t>
  </si>
  <si>
    <t>PV1592.pdf</t>
  </si>
  <si>
    <t>PV 1593</t>
  </si>
  <si>
    <t>FIXTURA INSPECCION RESINA | CHECKING FIXTURE 300139857</t>
  </si>
  <si>
    <t>PV1593.pdf</t>
  </si>
  <si>
    <t>PV 1594</t>
  </si>
  <si>
    <t>MANDRIL SIN TAPAS | Mandril E13982</t>
  </si>
  <si>
    <t>PV1594.pdf</t>
  </si>
  <si>
    <t>MANDRIL SIN TAPAS | Mandril E14146</t>
  </si>
  <si>
    <t>PV 1595</t>
  </si>
  <si>
    <t>SERVICIO TEMPLE | Lote tratamiento térmico Mandriles 53032527, 53032528 y 53032533 (2 pzs c/u)</t>
  </si>
  <si>
    <t>PV1595.pdf</t>
  </si>
  <si>
    <t>PV 1596</t>
  </si>
  <si>
    <t>CMM INSPECCION DIMENSIONAL FIXTURA | CMM y placa de identificacion Gauge NP P00025424-04AA</t>
  </si>
  <si>
    <t>PV1596.pdf</t>
  </si>
  <si>
    <t>CMM INSPECCION DIMENSIONAL FIXTURA | CMM y placa de identificacion Gauge NP P00025425-04AA</t>
  </si>
  <si>
    <t>CMM INSPECCION DIMENSIONAL FIXTURA | CMM y placa de identificacion Gauge NP P00025426-04AA</t>
  </si>
  <si>
    <t>PV 1597</t>
  </si>
  <si>
    <t>8 DÍAS</t>
  </si>
  <si>
    <t>MANDRIL CON TAPAS | MANDREL 1130595</t>
  </si>
  <si>
    <t>PV1597.pdf</t>
  </si>
  <si>
    <t>TAPAS INOXIDABLE | TAPA OPEN MANDRIL 1130595</t>
  </si>
  <si>
    <t>x</t>
  </si>
  <si>
    <t>Fecha inicio</t>
  </si>
  <si>
    <t xml:space="preserve">Fecha entrega estimada </t>
  </si>
  <si>
    <t>Dias para la entrega estimada</t>
  </si>
  <si>
    <t>Embarque</t>
  </si>
  <si>
    <t>PV 1598</t>
  </si>
  <si>
    <t>MAN-NVO-CE01 MANDRIL CON TAPAS MANDREL 23826-F0040</t>
  </si>
  <si>
    <t>MAN-NVO-CE01 MANDRIL CON TAPAS MANDREL G9229-F6020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</si>
</sst>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\✔;\✔;\✔;\✔"/>
  </numFmts>
  <fonts count="12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9"/>
      <color rgb="FF7F7F7F"/>
      <name val="Arial"/>
      <family val="2"/>
    </font>
    <font>
      <b/>
      <sz val="11"/>
      <color rgb="FF1F4E78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00B050"/>
      <name val="Segoe UI Symbol"/>
      <family val="2"/>
    </font>
    <font>
      <sz val="8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404040"/>
      </patternFill>
    </fill>
    <fill>
      <patternFill patternType="solid">
        <fgColor rgb="FFF8CBAD"/>
        <bgColor rgb="FFFFC7CE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D9D9D9"/>
      </patternFill>
    </fill>
    <fill>
      <patternFill patternType="solid">
        <fgColor rgb="FFD9C3E8"/>
        <bgColor rgb="FFD9D9D9"/>
      </patternFill>
    </fill>
    <fill>
      <patternFill patternType="solid">
        <fgColor rgb="FFD9D9D9"/>
        <bgColor rgb="FFBDD7EE"/>
      </patternFill>
    </fill>
    <fill>
      <patternFill patternType="solid">
        <fgColor rgb="FFBDD7EE"/>
        <bgColor rgb="FFD9D9D9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14" fontId="4" fillId="0" borderId="0" xfId="0" applyNumberFormat="1" applyFont="1" applyAlignment="1">
      <alignment horizontal="center"/>
    </xf>
    <xf numFmtId="14" fontId="4" fillId="2" borderId="0" xfId="0" applyNumberFormat="1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3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165" fontId="8" fillId="0" borderId="1" xfId="0" applyNumberFormat="1" applyFont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0" fillId="0" borderId="2" xfId="0" applyBorder="1"/>
    <xf numFmtId="0" fontId="8" fillId="0" borderId="2" xfId="0" applyFont="1" applyBorder="1"/>
    <xf numFmtId="14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right"/>
    </xf>
    <xf numFmtId="0" fontId="8" fillId="0" borderId="2" xfId="0" applyFont="1" applyBorder="1" applyAlignment="1">
      <alignment horizontal="center"/>
    </xf>
    <xf numFmtId="166" fontId="10" fillId="10" borderId="2" xfId="0" applyNumberFormat="1" applyFont="1" applyFill="1" applyBorder="1" applyAlignment="1">
      <alignment horizontal="center"/>
    </xf>
    <xf numFmtId="14" fontId="0" fillId="10" borderId="2" xfId="0" applyNumberFormat="1" applyFill="1" applyBorder="1" applyAlignment="1">
      <alignment horizontal="center"/>
    </xf>
    <xf numFmtId="0" fontId="0" fillId="11" borderId="2" xfId="0" applyFill="1" applyBorder="1"/>
  </cellXfs>
  <cellStyles count="1">
    <cellStyle name="Normal" xfId="0" builtinId="0"/>
  </cellStyles>
  <dxfs count="7">
    <dxf>
      <font>
        <b/>
        <color rgb="FF1F4E78"/>
        <name val="Arial"/>
        <charset val="1"/>
      </font>
      <fill>
        <patternFill>
          <bgColor rgb="FFBDD7EE"/>
        </patternFill>
      </fill>
    </dxf>
    <dxf>
      <font>
        <b/>
        <color rgb="FF404040"/>
        <name val="Arial"/>
        <charset val="1"/>
      </font>
      <fill>
        <patternFill>
          <bgColor rgb="FFD9D9D9"/>
        </patternFill>
      </fill>
    </dxf>
    <dxf>
      <font>
        <b/>
        <color rgb="FF5B2C83"/>
        <name val="Arial"/>
        <charset val="1"/>
      </font>
      <fill>
        <patternFill>
          <bgColor rgb="FFD9C3E8"/>
        </patternFill>
      </fill>
    </dxf>
    <dxf>
      <font>
        <b/>
        <color rgb="FF375623"/>
        <name val="Arial"/>
        <charset val="1"/>
      </font>
      <fill>
        <patternFill>
          <bgColor rgb="FFC6E0B4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b/>
        <color rgb="FFC00000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7F7F7F"/>
      <rgbColor rgb="FF9999FF"/>
      <rgbColor rgb="FF993366"/>
      <rgbColor rgb="FFF9F9F9"/>
      <rgbColor rgb="FFD9D9D9"/>
      <rgbColor rgb="FF660066"/>
      <rgbColor rgb="FFFF8080"/>
      <rgbColor rgb="FF0066CC"/>
      <rgbColor rgb="FFD9C3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BDD7EE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1F4E78"/>
      <rgbColor rgb="FF00B050"/>
      <rgbColor rgb="FF003300"/>
      <rgbColor rgb="FF375623"/>
      <rgbColor rgb="FF993300"/>
      <rgbColor rgb="FF993366"/>
      <rgbColor rgb="FF5B2C83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Partidas por estado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Resumen!$B$6</c:f>
              <c:strCache>
                <c:ptCount val="1"/>
                <c:pt idx="0">
                  <c:v>Partidas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Resumen!$A$7:$A$12</c:f>
              <c:strCache>
                <c:ptCount val="6"/>
                <c:pt idx="0">
                  <c:v>ATRASADO</c:v>
                </c:pt>
                <c:pt idx="1">
                  <c:v>POR VENCER</c:v>
                </c:pt>
                <c:pt idx="2">
                  <c:v>EN TIEMPO</c:v>
                </c:pt>
                <c:pt idx="3">
                  <c:v>REVISAR</c:v>
                </c:pt>
                <c:pt idx="4">
                  <c:v>REVISAR TE</c:v>
                </c:pt>
                <c:pt idx="5">
                  <c:v>Entregado</c:v>
                </c:pt>
              </c:strCache>
            </c:strRef>
          </c:cat>
          <c:val>
            <c:numRef>
              <c:f>Resumen!$B$7:$B$12</c:f>
              <c:numCache>
                <c:formatCode>#,##0</c:formatCode>
                <c:ptCount val="6"/>
                <c:pt idx="0">
                  <c:v>173</c:v>
                </c:pt>
                <c:pt idx="1">
                  <c:v>18</c:v>
                </c:pt>
                <c:pt idx="2">
                  <c:v>48</c:v>
                </c:pt>
                <c:pt idx="3">
                  <c:v>0</c:v>
                </c:pt>
                <c:pt idx="4">
                  <c:v>1</c:v>
                </c:pt>
                <c:pt idx="5">
                  <c:v>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A-4F07-BC50-22F3AE37A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488043"/>
        <c:axId val="95355491"/>
      </c:barChart>
      <c:catAx>
        <c:axId val="824880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95355491"/>
        <c:crosses val="autoZero"/>
        <c:auto val="1"/>
        <c:lblAlgn val="ctr"/>
        <c:lblOffset val="100"/>
        <c:noMultiLvlLbl val="0"/>
      </c:catAx>
      <c:valAx>
        <c:axId val="9535549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824880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25</xdr:row>
      <xdr:rowOff>160560</xdr:rowOff>
    </xdr:from>
    <xdr:to>
      <xdr:col>10</xdr:col>
      <xdr:colOff>1656360</xdr:colOff>
      <xdr:row>39</xdr:row>
      <xdr:rowOff>31320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showGridLines="0" zoomScaleNormal="100" workbookViewId="0">
      <selection activeCell="B33" sqref="B33"/>
    </sheetView>
  </sheetViews>
  <sheetFormatPr baseColWidth="10" defaultColWidth="8.7109375" defaultRowHeight="15" x14ac:dyDescent="0.25"/>
  <cols>
    <col min="1" max="1" width="44" customWidth="1"/>
    <col min="2" max="2" width="12" customWidth="1"/>
    <col min="3" max="4" width="13" customWidth="1"/>
    <col min="5" max="6" width="12" customWidth="1"/>
    <col min="7" max="7" width="16" customWidth="1"/>
    <col min="8" max="8" width="3" customWidth="1"/>
    <col min="9" max="9" width="34" customWidth="1"/>
    <col min="10" max="10" width="14" customWidth="1"/>
    <col min="11" max="11" width="34" customWidth="1"/>
  </cols>
  <sheetData>
    <row r="1" spans="1:10" ht="18" x14ac:dyDescent="0.25">
      <c r="A1" s="1" t="s">
        <v>0</v>
      </c>
    </row>
    <row r="2" spans="1:10" x14ac:dyDescent="0.25">
      <c r="A2" s="2" t="s">
        <v>1</v>
      </c>
      <c r="B2" s="3">
        <f ca="1">TODAY()</f>
        <v>46304</v>
      </c>
    </row>
    <row r="3" spans="1:10" x14ac:dyDescent="0.25">
      <c r="A3" s="2" t="s">
        <v>2</v>
      </c>
      <c r="B3" s="4">
        <v>46235</v>
      </c>
      <c r="C3" s="5" t="s">
        <v>3</v>
      </c>
    </row>
    <row r="5" spans="1:10" x14ac:dyDescent="0.25">
      <c r="A5" s="6" t="s">
        <v>4</v>
      </c>
      <c r="I5" s="6" t="s">
        <v>5</v>
      </c>
    </row>
    <row r="6" spans="1:10" ht="27.75" customHeight="1" x14ac:dyDescent="0.25">
      <c r="A6" s="7" t="s">
        <v>6</v>
      </c>
      <c r="B6" s="7" t="s">
        <v>7</v>
      </c>
      <c r="C6" s="7" t="s">
        <v>8</v>
      </c>
      <c r="D6" s="7" t="s">
        <v>9</v>
      </c>
      <c r="I6" s="7" t="s">
        <v>10</v>
      </c>
      <c r="J6" s="7" t="s">
        <v>11</v>
      </c>
    </row>
    <row r="7" spans="1:10" x14ac:dyDescent="0.25">
      <c r="A7" s="8" t="s">
        <v>12</v>
      </c>
      <c r="B7" s="9">
        <f ca="1">COUNTIF('Lista PV'!$M$2:$M$826,A7)</f>
        <v>173</v>
      </c>
      <c r="C7" s="10">
        <f t="shared" ref="C7:C12" ca="1" si="0">IF($B$13=0,0,B7/$B$13)</f>
        <v>0.20969696969696969</v>
      </c>
      <c r="D7" s="9">
        <f ca="1">SUMPRODUCT(('Lista PV'!$M$2:$M$826=A7)/COUNTIFS('Lista PV'!$A$2:$A$826,'Lista PV'!$A$2:$A$826,'Lista PV'!$M$2:$M$826,'Lista PV'!$M$2:$M$826))</f>
        <v>65</v>
      </c>
      <c r="I7" s="11" t="s">
        <v>13</v>
      </c>
      <c r="J7" s="9">
        <f ca="1">B13-B12</f>
        <v>240</v>
      </c>
    </row>
    <row r="8" spans="1:10" x14ac:dyDescent="0.25">
      <c r="A8" s="12" t="s">
        <v>14</v>
      </c>
      <c r="B8" s="9">
        <f ca="1">COUNTIF('Lista PV'!$M$2:$M$826,A8)</f>
        <v>18</v>
      </c>
      <c r="C8" s="10">
        <f t="shared" ca="1" si="0"/>
        <v>2.181818181818182E-2</v>
      </c>
      <c r="D8" s="9">
        <f ca="1">SUMPRODUCT(('Lista PV'!$M$2:$M$826=A8)/COUNTIFS('Lista PV'!$A$2:$A$826,'Lista PV'!$A$2:$A$826,'Lista PV'!$M$2:$M$826,'Lista PV'!$M$2:$M$826))</f>
        <v>4.9999999999999991</v>
      </c>
      <c r="I8" s="11" t="s">
        <v>15</v>
      </c>
      <c r="J8" s="9">
        <f ca="1">COUNTIF('Lista PV'!$K$2:$K$826,"&gt;0")</f>
        <v>173</v>
      </c>
    </row>
    <row r="9" spans="1:10" x14ac:dyDescent="0.25">
      <c r="A9" s="13" t="s">
        <v>16</v>
      </c>
      <c r="B9" s="9">
        <f ca="1">COUNTIF('Lista PV'!$M$2:$M$826,A9)</f>
        <v>48</v>
      </c>
      <c r="C9" s="10">
        <f t="shared" ca="1" si="0"/>
        <v>5.8181818181818182E-2</v>
      </c>
      <c r="D9" s="9">
        <f ca="1">SUMPRODUCT(('Lista PV'!$M$2:$M$826=A9)/COUNTIFS('Lista PV'!$A$2:$A$826,'Lista PV'!$A$2:$A$826,'Lista PV'!$M$2:$M$826,'Lista PV'!$M$2:$M$826))</f>
        <v>15.000000000000002</v>
      </c>
      <c r="I9" s="11" t="s">
        <v>17</v>
      </c>
      <c r="J9" s="14">
        <f ca="1">IFERROR(AVERAGE('Lista PV'!$K$2:$K$826),0)</f>
        <v>32.138728323699425</v>
      </c>
    </row>
    <row r="10" spans="1:10" x14ac:dyDescent="0.25">
      <c r="A10" s="15" t="s">
        <v>18</v>
      </c>
      <c r="B10" s="9">
        <f ca="1">COUNTIF('Lista PV'!$M$2:$M$826,A10)</f>
        <v>0</v>
      </c>
      <c r="C10" s="10">
        <f t="shared" ca="1" si="0"/>
        <v>0</v>
      </c>
      <c r="D10" s="9">
        <f ca="1">SUMPRODUCT(('Lista PV'!$M$2:$M$826=A10)/COUNTIFS('Lista PV'!$A$2:$A$826,'Lista PV'!$A$2:$A$826,'Lista PV'!$M$2:$M$826,'Lista PV'!$M$2:$M$826))</f>
        <v>0</v>
      </c>
      <c r="I10" s="11" t="s">
        <v>19</v>
      </c>
      <c r="J10" s="9">
        <f ca="1">MAX('Lista PV'!$K$2:$K$826)</f>
        <v>61</v>
      </c>
    </row>
    <row r="11" spans="1:10" x14ac:dyDescent="0.25">
      <c r="A11" s="16" t="s">
        <v>20</v>
      </c>
      <c r="B11" s="9">
        <f ca="1">COUNTIF('Lista PV'!$M$2:$M$826,A11)</f>
        <v>1</v>
      </c>
      <c r="C11" s="10">
        <f t="shared" ca="1" si="0"/>
        <v>1.2121212121212121E-3</v>
      </c>
      <c r="D11" s="9">
        <f ca="1">SUMPRODUCT(('Lista PV'!$M$2:$M$826=A11)/COUNTIFS('Lista PV'!$A$2:$A$826,'Lista PV'!$A$2:$A$826,'Lista PV'!$M$2:$M$826,'Lista PV'!$M$2:$M$826))</f>
        <v>1</v>
      </c>
      <c r="I11" s="11" t="s">
        <v>21</v>
      </c>
      <c r="J11" s="9">
        <f ca="1">COUNTIFS('Lista PV'!$M$2:$M$826,"POR VENCER")+COUNTIFS('Lista PV'!$M$2:$M$826,"EN TIEMPO",'Lista PV'!$Q$2:$Q$826,"&lt;="&amp;$B$2+7,'Lista PV'!$Q$2:$Q$826,"&gt;="&amp;$B$2)+COUNTIFS('Lista PV'!$M$2:$M$826,"EN TIEMPO",'Lista PV'!$Q$2:$Q$826,"",'Lista PV'!$I$2:$I$826,"&lt;="&amp;$B$2+7,'Lista PV'!$I$2:$I$826,"&gt;="&amp;$B$2)</f>
        <v>26</v>
      </c>
    </row>
    <row r="12" spans="1:10" x14ac:dyDescent="0.25">
      <c r="A12" s="17" t="s">
        <v>22</v>
      </c>
      <c r="B12" s="9">
        <f ca="1">COUNTIF('Lista PV'!$M$2:$M$826,A12)</f>
        <v>585</v>
      </c>
      <c r="C12" s="10">
        <f t="shared" ca="1" si="0"/>
        <v>0.70909090909090911</v>
      </c>
      <c r="D12" s="9">
        <f ca="1">SUMPRODUCT(('Lista PV'!$M$2:$M$826=A12)/COUNTIFS('Lista PV'!$A$2:$A$826,'Lista PV'!$A$2:$A$826,'Lista PV'!$M$2:$M$826,'Lista PV'!$M$2:$M$826))</f>
        <v>217.00000000000026</v>
      </c>
    </row>
    <row r="13" spans="1:10" x14ac:dyDescent="0.25">
      <c r="A13" s="18" t="s">
        <v>23</v>
      </c>
      <c r="B13" s="19">
        <f ca="1">SUM(B7:B12)</f>
        <v>825</v>
      </c>
      <c r="C13" s="20">
        <f ca="1">SUM(C7:C12)</f>
        <v>1</v>
      </c>
      <c r="D13" s="19">
        <f>SUMPRODUCT(1/COUNTIF('Lista PV'!$A$2:$A$826,'Lista PV'!$A$2:$A$826))</f>
        <v>301.99999999999994</v>
      </c>
    </row>
    <row r="14" spans="1:10" x14ac:dyDescent="0.25">
      <c r="A14" s="11" t="s">
        <v>24</v>
      </c>
      <c r="B14" s="9">
        <f>SUMPRODUCT(('Lista PV'!$Q$2:$Q$826&lt;&gt;"")*('Lista PV'!$Q$2:$Q$826&lt;&gt;'Lista PV'!$I$2:$I$826))</f>
        <v>11</v>
      </c>
    </row>
    <row r="15" spans="1:10" x14ac:dyDescent="0.25">
      <c r="A15" s="5" t="s">
        <v>25</v>
      </c>
    </row>
    <row r="18" spans="1:11" x14ac:dyDescent="0.25">
      <c r="A18" s="6" t="s">
        <v>26</v>
      </c>
      <c r="I18" s="6" t="s">
        <v>27</v>
      </c>
    </row>
    <row r="19" spans="1:11" ht="27.75" customHeight="1" x14ac:dyDescent="0.25">
      <c r="A19" s="7" t="s">
        <v>28</v>
      </c>
      <c r="B19" s="7" t="s">
        <v>7</v>
      </c>
      <c r="C19" s="7" t="s">
        <v>29</v>
      </c>
      <c r="I19" s="7" t="s">
        <v>30</v>
      </c>
      <c r="J19" s="7" t="s">
        <v>31</v>
      </c>
      <c r="K19" s="7" t="s">
        <v>32</v>
      </c>
    </row>
    <row r="20" spans="1:11" x14ac:dyDescent="0.25">
      <c r="A20" s="11" t="s">
        <v>33</v>
      </c>
      <c r="B20" s="9">
        <f ca="1">COUNTIFS('Lista PV'!$K$2:$K$826,"&gt;=1",'Lista PV'!$K$2:$K$826,"&lt;=7")</f>
        <v>32</v>
      </c>
      <c r="C20" s="10">
        <f ca="1">IF($B$24=0,0,B20/$B$24)</f>
        <v>0.18497109826589594</v>
      </c>
      <c r="I20" s="11" t="s">
        <v>34</v>
      </c>
      <c r="J20" s="9">
        <f>COUNTBLANK('Lista PV'!$Q$2:$Q$826)</f>
        <v>814</v>
      </c>
      <c r="K20" s="11" t="s">
        <v>35</v>
      </c>
    </row>
    <row r="21" spans="1:11" x14ac:dyDescent="0.25">
      <c r="A21" s="11" t="s">
        <v>36</v>
      </c>
      <c r="B21" s="9">
        <f ca="1">COUNTIFS('Lista PV'!$K$2:$K$826,"&gt;=8",'Lista PV'!$K$2:$K$826,"&lt;=30")</f>
        <v>40</v>
      </c>
      <c r="C21" s="10">
        <f ca="1">IF($B$24=0,0,B21/$B$24)</f>
        <v>0.23121387283236994</v>
      </c>
      <c r="I21" s="11" t="s">
        <v>37</v>
      </c>
      <c r="J21" s="9">
        <f>COUNTBLANK('Lista PV'!$L$2:$L$826)</f>
        <v>240</v>
      </c>
      <c r="K21" s="11" t="s">
        <v>38</v>
      </c>
    </row>
    <row r="22" spans="1:11" x14ac:dyDescent="0.25">
      <c r="A22" s="11" t="s">
        <v>39</v>
      </c>
      <c r="B22" s="9">
        <f ca="1">COUNTIFS('Lista PV'!$K$2:$K$826,"&gt;=31",'Lista PV'!$K$2:$K$826,"&lt;=60")</f>
        <v>99</v>
      </c>
      <c r="C22" s="10">
        <f ca="1">IF($B$24=0,0,B22/$B$24)</f>
        <v>0.5722543352601156</v>
      </c>
      <c r="I22" s="11" t="s">
        <v>40</v>
      </c>
      <c r="J22" s="9">
        <f>COUNTBLANK('Lista PV'!$B$2:$B$826)</f>
        <v>59</v>
      </c>
      <c r="K22" s="11" t="s">
        <v>41</v>
      </c>
    </row>
    <row r="23" spans="1:11" x14ac:dyDescent="0.25">
      <c r="A23" s="11" t="s">
        <v>42</v>
      </c>
      <c r="B23" s="9">
        <f ca="1">COUNTIFS('Lista PV'!$K$2:$K$826,"&gt;=61",'Lista PV'!$K$2:$K$826,"&lt;=99999")</f>
        <v>2</v>
      </c>
      <c r="C23" s="10">
        <f ca="1">IF($B$24=0,0,B23/$B$24)</f>
        <v>1.1560693641618497E-2</v>
      </c>
      <c r="I23" s="11" t="s">
        <v>43</v>
      </c>
      <c r="J23" s="9">
        <f>COUNTBLANK('Lista PV'!$I$2:$I$826)</f>
        <v>44</v>
      </c>
      <c r="K23" s="11" t="s">
        <v>44</v>
      </c>
    </row>
    <row r="24" spans="1:11" x14ac:dyDescent="0.25">
      <c r="A24" s="18" t="s">
        <v>23</v>
      </c>
      <c r="B24" s="19">
        <f ca="1">SUM(B20:B23)</f>
        <v>173</v>
      </c>
      <c r="C24" s="20">
        <f ca="1">SUM(C20:C23)</f>
        <v>1</v>
      </c>
    </row>
    <row r="27" spans="1:11" x14ac:dyDescent="0.25">
      <c r="A27" s="6" t="s">
        <v>45</v>
      </c>
    </row>
    <row r="28" spans="1:11" ht="27.75" customHeight="1" x14ac:dyDescent="0.25">
      <c r="A28" s="7" t="s">
        <v>40</v>
      </c>
      <c r="B28" s="7" t="s">
        <v>46</v>
      </c>
      <c r="C28" s="7" t="s">
        <v>47</v>
      </c>
      <c r="D28" s="7" t="s">
        <v>48</v>
      </c>
      <c r="E28" s="7" t="s">
        <v>49</v>
      </c>
      <c r="F28" s="7" t="s">
        <v>50</v>
      </c>
      <c r="G28" s="7" t="s">
        <v>51</v>
      </c>
    </row>
    <row r="29" spans="1:11" x14ac:dyDescent="0.25">
      <c r="A29" s="11" t="s">
        <v>52</v>
      </c>
      <c r="B29" s="9">
        <f ca="1">COUNTIFS('Lista PV'!$B$2:$B$826,$A29,'Lista PV'!$M$2:$M$826,"ATRASADO")</f>
        <v>54</v>
      </c>
      <c r="C29" s="9">
        <f ca="1">COUNTIFS('Lista PV'!$B$2:$B$826,$A29,'Lista PV'!$M$2:$M$826,"POR VENCER")</f>
        <v>4</v>
      </c>
      <c r="D29" s="9">
        <f ca="1">COUNTIFS('Lista PV'!$B$2:$B$826,$A29,'Lista PV'!$M$2:$M$826,"EN TIEMPO")</f>
        <v>19</v>
      </c>
      <c r="E29" s="9">
        <f ca="1">COUNTIFS('Lista PV'!$B$2:$B$826,$A29,'Lista PV'!$M$2:$M$826,"REVISAR")</f>
        <v>0</v>
      </c>
      <c r="F29" s="9">
        <f ca="1">COUNTIFS('Lista PV'!$B$2:$B$826,$A29,'Lista PV'!$M$2:$M$826,"REVISAR TE")</f>
        <v>0</v>
      </c>
      <c r="G29" s="19">
        <f t="shared" ref="G29:G49" ca="1" si="1">SUM(B29:F29)</f>
        <v>77</v>
      </c>
    </row>
    <row r="30" spans="1:11" x14ac:dyDescent="0.25">
      <c r="A30" s="11" t="s">
        <v>53</v>
      </c>
      <c r="B30" s="9">
        <f ca="1">COUNTIFS('Lista PV'!$B$2:$B$826,$A30,'Lista PV'!$M$2:$M$826,"ATRASADO")</f>
        <v>12</v>
      </c>
      <c r="C30" s="9">
        <f ca="1">COUNTIFS('Lista PV'!$B$2:$B$826,$A30,'Lista PV'!$M$2:$M$826,"POR VENCER")</f>
        <v>4</v>
      </c>
      <c r="D30" s="9">
        <f ca="1">COUNTIFS('Lista PV'!$B$2:$B$826,$A30,'Lista PV'!$M$2:$M$826,"EN TIEMPO")</f>
        <v>8</v>
      </c>
      <c r="E30" s="9">
        <f ca="1">COUNTIFS('Lista PV'!$B$2:$B$826,$A30,'Lista PV'!$M$2:$M$826,"REVISAR")</f>
        <v>0</v>
      </c>
      <c r="F30" s="9">
        <f ca="1">COUNTIFS('Lista PV'!$B$2:$B$826,$A30,'Lista PV'!$M$2:$M$826,"REVISAR TE")</f>
        <v>0</v>
      </c>
      <c r="G30" s="19">
        <f t="shared" ca="1" si="1"/>
        <v>24</v>
      </c>
    </row>
    <row r="31" spans="1:11" x14ac:dyDescent="0.25">
      <c r="A31" s="11" t="s">
        <v>54</v>
      </c>
      <c r="B31" s="9">
        <f ca="1">COUNTIFS('Lista PV'!$B$2:$B$826,$A31,'Lista PV'!$M$2:$M$826,"ATRASADO")</f>
        <v>23</v>
      </c>
      <c r="C31" s="9">
        <f ca="1">COUNTIFS('Lista PV'!$B$2:$B$826,$A31,'Lista PV'!$M$2:$M$826,"POR VENCER")</f>
        <v>9</v>
      </c>
      <c r="D31" s="9">
        <f ca="1">COUNTIFS('Lista PV'!$B$2:$B$826,$A31,'Lista PV'!$M$2:$M$826,"EN TIEMPO")</f>
        <v>8</v>
      </c>
      <c r="E31" s="9">
        <f ca="1">COUNTIFS('Lista PV'!$B$2:$B$826,$A31,'Lista PV'!$M$2:$M$826,"REVISAR")</f>
        <v>0</v>
      </c>
      <c r="F31" s="9">
        <f ca="1">COUNTIFS('Lista PV'!$B$2:$B$826,$A31,'Lista PV'!$M$2:$M$826,"REVISAR TE")</f>
        <v>0</v>
      </c>
      <c r="G31" s="19">
        <f t="shared" ca="1" si="1"/>
        <v>40</v>
      </c>
    </row>
    <row r="32" spans="1:11" x14ac:dyDescent="0.25">
      <c r="A32" s="11" t="s">
        <v>55</v>
      </c>
      <c r="B32" s="9">
        <f ca="1">COUNTIFS('Lista PV'!$B$2:$B$826,$A32,'Lista PV'!$M$2:$M$826,"ATRASADO")</f>
        <v>17</v>
      </c>
      <c r="C32" s="9">
        <f ca="1">COUNTIFS('Lista PV'!$B$2:$B$826,$A32,'Lista PV'!$M$2:$M$826,"POR VENCER")</f>
        <v>0</v>
      </c>
      <c r="D32" s="9">
        <f ca="1">COUNTIFS('Lista PV'!$B$2:$B$826,$A32,'Lista PV'!$M$2:$M$826,"EN TIEMPO")</f>
        <v>3</v>
      </c>
      <c r="E32" s="9">
        <f ca="1">COUNTIFS('Lista PV'!$B$2:$B$826,$A32,'Lista PV'!$M$2:$M$826,"REVISAR")</f>
        <v>0</v>
      </c>
      <c r="F32" s="9">
        <f ca="1">COUNTIFS('Lista PV'!$B$2:$B$826,$A32,'Lista PV'!$M$2:$M$826,"REVISAR TE")</f>
        <v>0</v>
      </c>
      <c r="G32" s="19">
        <f t="shared" ca="1" si="1"/>
        <v>20</v>
      </c>
    </row>
    <row r="33" spans="1:7" x14ac:dyDescent="0.25">
      <c r="A33" s="11" t="s">
        <v>56</v>
      </c>
      <c r="B33" s="9">
        <f ca="1">COUNTIFS('Lista PV'!$B$2:$B$826,$A33,'Lista PV'!$M$2:$M$826,"ATRASADO")</f>
        <v>10</v>
      </c>
      <c r="C33" s="9">
        <f ca="1">COUNTIFS('Lista PV'!$B$2:$B$826,$A33,'Lista PV'!$M$2:$M$826,"POR VENCER")</f>
        <v>1</v>
      </c>
      <c r="D33" s="9">
        <f ca="1">COUNTIFS('Lista PV'!$B$2:$B$826,$A33,'Lista PV'!$M$2:$M$826,"EN TIEMPO")</f>
        <v>1</v>
      </c>
      <c r="E33" s="9">
        <f ca="1">COUNTIFS('Lista PV'!$B$2:$B$826,$A33,'Lista PV'!$M$2:$M$826,"REVISAR")</f>
        <v>0</v>
      </c>
      <c r="F33" s="9">
        <f ca="1">COUNTIFS('Lista PV'!$B$2:$B$826,$A33,'Lista PV'!$M$2:$M$826,"REVISAR TE")</f>
        <v>0</v>
      </c>
      <c r="G33" s="19">
        <f t="shared" ca="1" si="1"/>
        <v>12</v>
      </c>
    </row>
    <row r="34" spans="1:7" x14ac:dyDescent="0.25">
      <c r="A34" s="11" t="s">
        <v>57</v>
      </c>
      <c r="B34" s="9">
        <f ca="1">COUNTIFS('Lista PV'!$B$2:$B$826,$A34,'Lista PV'!$M$2:$M$826,"ATRASADO")</f>
        <v>27</v>
      </c>
      <c r="C34" s="9">
        <f ca="1">COUNTIFS('Lista PV'!$B$2:$B$826,$A34,'Lista PV'!$M$2:$M$826,"POR VENCER")</f>
        <v>0</v>
      </c>
      <c r="D34" s="9">
        <f ca="1">COUNTIFS('Lista PV'!$B$2:$B$826,$A34,'Lista PV'!$M$2:$M$826,"EN TIEMPO")</f>
        <v>2</v>
      </c>
      <c r="E34" s="9">
        <f ca="1">COUNTIFS('Lista PV'!$B$2:$B$826,$A34,'Lista PV'!$M$2:$M$826,"REVISAR")</f>
        <v>0</v>
      </c>
      <c r="F34" s="9">
        <f ca="1">COUNTIFS('Lista PV'!$B$2:$B$826,$A34,'Lista PV'!$M$2:$M$826,"REVISAR TE")</f>
        <v>0</v>
      </c>
      <c r="G34" s="19">
        <f t="shared" ca="1" si="1"/>
        <v>29</v>
      </c>
    </row>
    <row r="35" spans="1:7" x14ac:dyDescent="0.25">
      <c r="A35" s="11" t="s">
        <v>58</v>
      </c>
      <c r="B35" s="9">
        <f ca="1">COUNTIFS('Lista PV'!$B$2:$B$826,$A35,'Lista PV'!$M$2:$M$826,"ATRASADO")</f>
        <v>2</v>
      </c>
      <c r="C35" s="9">
        <f ca="1">COUNTIFS('Lista PV'!$B$2:$B$826,$A35,'Lista PV'!$M$2:$M$826,"POR VENCER")</f>
        <v>0</v>
      </c>
      <c r="D35" s="9">
        <f ca="1">COUNTIFS('Lista PV'!$B$2:$B$826,$A35,'Lista PV'!$M$2:$M$826,"EN TIEMPO")</f>
        <v>4</v>
      </c>
      <c r="E35" s="9">
        <f ca="1">COUNTIFS('Lista PV'!$B$2:$B$826,$A35,'Lista PV'!$M$2:$M$826,"REVISAR")</f>
        <v>0</v>
      </c>
      <c r="F35" s="9">
        <f ca="1">COUNTIFS('Lista PV'!$B$2:$B$826,$A35,'Lista PV'!$M$2:$M$826,"REVISAR TE")</f>
        <v>0</v>
      </c>
      <c r="G35" s="19">
        <f t="shared" ca="1" si="1"/>
        <v>6</v>
      </c>
    </row>
    <row r="36" spans="1:7" x14ac:dyDescent="0.25">
      <c r="A36" s="11" t="s">
        <v>59</v>
      </c>
      <c r="B36" s="9">
        <f ca="1">COUNTIFS('Lista PV'!$B$2:$B$826,$A36,'Lista PV'!$M$2:$M$826,"ATRASADO")</f>
        <v>0</v>
      </c>
      <c r="C36" s="9">
        <f ca="1">COUNTIFS('Lista PV'!$B$2:$B$826,$A36,'Lista PV'!$M$2:$M$826,"POR VENCER")</f>
        <v>0</v>
      </c>
      <c r="D36" s="9">
        <f ca="1">COUNTIFS('Lista PV'!$B$2:$B$826,$A36,'Lista PV'!$M$2:$M$826,"EN TIEMPO")</f>
        <v>2</v>
      </c>
      <c r="E36" s="9">
        <f ca="1">COUNTIFS('Lista PV'!$B$2:$B$826,$A36,'Lista PV'!$M$2:$M$826,"REVISAR")</f>
        <v>0</v>
      </c>
      <c r="F36" s="9">
        <f ca="1">COUNTIFS('Lista PV'!$B$2:$B$826,$A36,'Lista PV'!$M$2:$M$826,"REVISAR TE")</f>
        <v>0</v>
      </c>
      <c r="G36" s="19">
        <f t="shared" ca="1" si="1"/>
        <v>2</v>
      </c>
    </row>
    <row r="37" spans="1:7" x14ac:dyDescent="0.25">
      <c r="A37" s="11" t="s">
        <v>60</v>
      </c>
      <c r="B37" s="9">
        <f ca="1">COUNTIFS('Lista PV'!$B$2:$B$826,$A37,'Lista PV'!$M$2:$M$826,"ATRASADO")</f>
        <v>0</v>
      </c>
      <c r="C37" s="9">
        <f ca="1">COUNTIFS('Lista PV'!$B$2:$B$826,$A37,'Lista PV'!$M$2:$M$826,"POR VENCER")</f>
        <v>0</v>
      </c>
      <c r="D37" s="9">
        <f ca="1">COUNTIFS('Lista PV'!$B$2:$B$826,$A37,'Lista PV'!$M$2:$M$826,"EN TIEMPO")</f>
        <v>0</v>
      </c>
      <c r="E37" s="9">
        <f ca="1">COUNTIFS('Lista PV'!$B$2:$B$826,$A37,'Lista PV'!$M$2:$M$826,"REVISAR")</f>
        <v>0</v>
      </c>
      <c r="F37" s="9">
        <f ca="1">COUNTIFS('Lista PV'!$B$2:$B$826,$A37,'Lista PV'!$M$2:$M$826,"REVISAR TE")</f>
        <v>0</v>
      </c>
      <c r="G37" s="19">
        <f t="shared" ca="1" si="1"/>
        <v>0</v>
      </c>
    </row>
    <row r="38" spans="1:7" x14ac:dyDescent="0.25">
      <c r="A38" s="11" t="s">
        <v>61</v>
      </c>
      <c r="B38" s="9">
        <f ca="1">COUNTIFS('Lista PV'!$B$2:$B$826,$A38,'Lista PV'!$M$2:$M$826,"ATRASADO")</f>
        <v>0</v>
      </c>
      <c r="C38" s="9">
        <f ca="1">COUNTIFS('Lista PV'!$B$2:$B$826,$A38,'Lista PV'!$M$2:$M$826,"POR VENCER")</f>
        <v>0</v>
      </c>
      <c r="D38" s="9">
        <f ca="1">COUNTIFS('Lista PV'!$B$2:$B$826,$A38,'Lista PV'!$M$2:$M$826,"EN TIEMPO")</f>
        <v>0</v>
      </c>
      <c r="E38" s="9">
        <f ca="1">COUNTIFS('Lista PV'!$B$2:$B$826,$A38,'Lista PV'!$M$2:$M$826,"REVISAR")</f>
        <v>0</v>
      </c>
      <c r="F38" s="9">
        <f ca="1">COUNTIFS('Lista PV'!$B$2:$B$826,$A38,'Lista PV'!$M$2:$M$826,"REVISAR TE")</f>
        <v>0</v>
      </c>
      <c r="G38" s="19">
        <f t="shared" ca="1" si="1"/>
        <v>0</v>
      </c>
    </row>
    <row r="39" spans="1:7" x14ac:dyDescent="0.25">
      <c r="A39" s="11" t="s">
        <v>62</v>
      </c>
      <c r="B39" s="9">
        <f ca="1">COUNTIFS('Lista PV'!$B$2:$B$826,$A39,'Lista PV'!$M$2:$M$826,"ATRASADO")</f>
        <v>0</v>
      </c>
      <c r="C39" s="9">
        <f ca="1">COUNTIFS('Lista PV'!$B$2:$B$826,$A39,'Lista PV'!$M$2:$M$826,"POR VENCER")</f>
        <v>0</v>
      </c>
      <c r="D39" s="9">
        <f ca="1">COUNTIFS('Lista PV'!$B$2:$B$826,$A39,'Lista PV'!$M$2:$M$826,"EN TIEMPO")</f>
        <v>0</v>
      </c>
      <c r="E39" s="9">
        <f ca="1">COUNTIFS('Lista PV'!$B$2:$B$826,$A39,'Lista PV'!$M$2:$M$826,"REVISAR")</f>
        <v>0</v>
      </c>
      <c r="F39" s="9">
        <f ca="1">COUNTIFS('Lista PV'!$B$2:$B$826,$A39,'Lista PV'!$M$2:$M$826,"REVISAR TE")</f>
        <v>0</v>
      </c>
      <c r="G39" s="19">
        <f t="shared" ca="1" si="1"/>
        <v>0</v>
      </c>
    </row>
    <row r="40" spans="1:7" x14ac:dyDescent="0.25">
      <c r="A40" s="11" t="s">
        <v>63</v>
      </c>
      <c r="B40" s="9">
        <f ca="1">COUNTIFS('Lista PV'!$B$2:$B$826,$A40,'Lista PV'!$M$2:$M$826,"ATRASADO")</f>
        <v>0</v>
      </c>
      <c r="C40" s="9">
        <f ca="1">COUNTIFS('Lista PV'!$B$2:$B$826,$A40,'Lista PV'!$M$2:$M$826,"POR VENCER")</f>
        <v>0</v>
      </c>
      <c r="D40" s="9">
        <f ca="1">COUNTIFS('Lista PV'!$B$2:$B$826,$A40,'Lista PV'!$M$2:$M$826,"EN TIEMPO")</f>
        <v>0</v>
      </c>
      <c r="E40" s="9">
        <f ca="1">COUNTIFS('Lista PV'!$B$2:$B$826,$A40,'Lista PV'!$M$2:$M$826,"REVISAR")</f>
        <v>0</v>
      </c>
      <c r="F40" s="9">
        <f ca="1">COUNTIFS('Lista PV'!$B$2:$B$826,$A40,'Lista PV'!$M$2:$M$826,"REVISAR TE")</f>
        <v>0</v>
      </c>
      <c r="G40" s="19">
        <f t="shared" ca="1" si="1"/>
        <v>0</v>
      </c>
    </row>
    <row r="41" spans="1:7" x14ac:dyDescent="0.25">
      <c r="A41" s="11" t="s">
        <v>64</v>
      </c>
      <c r="B41" s="9">
        <f ca="1">COUNTIFS('Lista PV'!$B$2:$B$826,$A41,'Lista PV'!$M$2:$M$826,"ATRASADO")</f>
        <v>3</v>
      </c>
      <c r="C41" s="9">
        <f ca="1">COUNTIFS('Lista PV'!$B$2:$B$826,$A41,'Lista PV'!$M$2:$M$826,"POR VENCER")</f>
        <v>0</v>
      </c>
      <c r="D41" s="9">
        <f ca="1">COUNTIFS('Lista PV'!$B$2:$B$826,$A41,'Lista PV'!$M$2:$M$826,"EN TIEMPO")</f>
        <v>0</v>
      </c>
      <c r="E41" s="9">
        <f ca="1">COUNTIFS('Lista PV'!$B$2:$B$826,$A41,'Lista PV'!$M$2:$M$826,"REVISAR")</f>
        <v>0</v>
      </c>
      <c r="F41" s="9">
        <f ca="1">COUNTIFS('Lista PV'!$B$2:$B$826,$A41,'Lista PV'!$M$2:$M$826,"REVISAR TE")</f>
        <v>0</v>
      </c>
      <c r="G41" s="19">
        <f t="shared" ca="1" si="1"/>
        <v>3</v>
      </c>
    </row>
    <row r="42" spans="1:7" x14ac:dyDescent="0.25">
      <c r="A42" s="11" t="s">
        <v>65</v>
      </c>
      <c r="B42" s="9">
        <f ca="1">COUNTIFS('Lista PV'!$B$2:$B$826,$A42,'Lista PV'!$M$2:$M$826,"ATRASADO")</f>
        <v>0</v>
      </c>
      <c r="C42" s="9">
        <f ca="1">COUNTIFS('Lista PV'!$B$2:$B$826,$A42,'Lista PV'!$M$2:$M$826,"POR VENCER")</f>
        <v>0</v>
      </c>
      <c r="D42" s="9">
        <f ca="1">COUNTIFS('Lista PV'!$B$2:$B$826,$A42,'Lista PV'!$M$2:$M$826,"EN TIEMPO")</f>
        <v>0</v>
      </c>
      <c r="E42" s="9">
        <f ca="1">COUNTIFS('Lista PV'!$B$2:$B$826,$A42,'Lista PV'!$M$2:$M$826,"REVISAR")</f>
        <v>0</v>
      </c>
      <c r="F42" s="9">
        <f ca="1">COUNTIFS('Lista PV'!$B$2:$B$826,$A42,'Lista PV'!$M$2:$M$826,"REVISAR TE")</f>
        <v>0</v>
      </c>
      <c r="G42" s="19">
        <f t="shared" ca="1" si="1"/>
        <v>0</v>
      </c>
    </row>
    <row r="43" spans="1:7" x14ac:dyDescent="0.25">
      <c r="A43" s="11" t="s">
        <v>66</v>
      </c>
      <c r="B43" s="9">
        <f ca="1">COUNTIFS('Lista PV'!$B$2:$B$826,$A43,'Lista PV'!$M$2:$M$826,"ATRASADO")</f>
        <v>0</v>
      </c>
      <c r="C43" s="9">
        <f ca="1">COUNTIFS('Lista PV'!$B$2:$B$826,$A43,'Lista PV'!$M$2:$M$826,"POR VENCER")</f>
        <v>0</v>
      </c>
      <c r="D43" s="9">
        <f ca="1">COUNTIFS('Lista PV'!$B$2:$B$826,$A43,'Lista PV'!$M$2:$M$826,"EN TIEMPO")</f>
        <v>0</v>
      </c>
      <c r="E43" s="9">
        <f ca="1">COUNTIFS('Lista PV'!$B$2:$B$826,$A43,'Lista PV'!$M$2:$M$826,"REVISAR")</f>
        <v>0</v>
      </c>
      <c r="F43" s="9">
        <f ca="1">COUNTIFS('Lista PV'!$B$2:$B$826,$A43,'Lista PV'!$M$2:$M$826,"REVISAR TE")</f>
        <v>0</v>
      </c>
      <c r="G43" s="19">
        <f t="shared" ca="1" si="1"/>
        <v>0</v>
      </c>
    </row>
    <row r="44" spans="1:7" x14ac:dyDescent="0.25">
      <c r="A44" s="11" t="s">
        <v>67</v>
      </c>
      <c r="B44" s="9">
        <f ca="1">COUNTIFS('Lista PV'!$B$2:$B$826,$A44,'Lista PV'!$M$2:$M$826,"ATRASADO")</f>
        <v>0</v>
      </c>
      <c r="C44" s="9">
        <f ca="1">COUNTIFS('Lista PV'!$B$2:$B$826,$A44,'Lista PV'!$M$2:$M$826,"POR VENCER")</f>
        <v>0</v>
      </c>
      <c r="D44" s="9">
        <f ca="1">COUNTIFS('Lista PV'!$B$2:$B$826,$A44,'Lista PV'!$M$2:$M$826,"EN TIEMPO")</f>
        <v>0</v>
      </c>
      <c r="E44" s="9">
        <f ca="1">COUNTIFS('Lista PV'!$B$2:$B$826,$A44,'Lista PV'!$M$2:$M$826,"REVISAR")</f>
        <v>0</v>
      </c>
      <c r="F44" s="9">
        <f ca="1">COUNTIFS('Lista PV'!$B$2:$B$826,$A44,'Lista PV'!$M$2:$M$826,"REVISAR TE")</f>
        <v>0</v>
      </c>
      <c r="G44" s="19">
        <f t="shared" ca="1" si="1"/>
        <v>0</v>
      </c>
    </row>
    <row r="45" spans="1:7" x14ac:dyDescent="0.25">
      <c r="A45" s="11" t="s">
        <v>68</v>
      </c>
      <c r="B45" s="9">
        <f ca="1">COUNTIFS('Lista PV'!$B$2:$B$826,$A45,'Lista PV'!$M$2:$M$826,"ATRASADO")</f>
        <v>0</v>
      </c>
      <c r="C45" s="9">
        <f ca="1">COUNTIFS('Lista PV'!$B$2:$B$826,$A45,'Lista PV'!$M$2:$M$826,"POR VENCER")</f>
        <v>0</v>
      </c>
      <c r="D45" s="9">
        <f ca="1">COUNTIFS('Lista PV'!$B$2:$B$826,$A45,'Lista PV'!$M$2:$M$826,"EN TIEMPO")</f>
        <v>0</v>
      </c>
      <c r="E45" s="9">
        <f ca="1">COUNTIFS('Lista PV'!$B$2:$B$826,$A45,'Lista PV'!$M$2:$M$826,"REVISAR")</f>
        <v>0</v>
      </c>
      <c r="F45" s="9">
        <f ca="1">COUNTIFS('Lista PV'!$B$2:$B$826,$A45,'Lista PV'!$M$2:$M$826,"REVISAR TE")</f>
        <v>0</v>
      </c>
      <c r="G45" s="19">
        <f t="shared" ca="1" si="1"/>
        <v>0</v>
      </c>
    </row>
    <row r="46" spans="1:7" x14ac:dyDescent="0.25">
      <c r="A46" s="11" t="s">
        <v>69</v>
      </c>
      <c r="B46" s="9">
        <f ca="1">COUNTIFS('Lista PV'!$B$2:$B$826,$A46,'Lista PV'!$M$2:$M$826,"ATRASADO")</f>
        <v>0</v>
      </c>
      <c r="C46" s="9">
        <f ca="1">COUNTIFS('Lista PV'!$B$2:$B$826,$A46,'Lista PV'!$M$2:$M$826,"POR VENCER")</f>
        <v>0</v>
      </c>
      <c r="D46" s="9">
        <f ca="1">COUNTIFS('Lista PV'!$B$2:$B$826,$A46,'Lista PV'!$M$2:$M$826,"EN TIEMPO")</f>
        <v>0</v>
      </c>
      <c r="E46" s="9">
        <f ca="1">COUNTIFS('Lista PV'!$B$2:$B$826,$A46,'Lista PV'!$M$2:$M$826,"REVISAR")</f>
        <v>0</v>
      </c>
      <c r="F46" s="9">
        <f ca="1">COUNTIFS('Lista PV'!$B$2:$B$826,$A46,'Lista PV'!$M$2:$M$826,"REVISAR TE")</f>
        <v>0</v>
      </c>
      <c r="G46" s="19">
        <f t="shared" ca="1" si="1"/>
        <v>0</v>
      </c>
    </row>
    <row r="47" spans="1:7" x14ac:dyDescent="0.25">
      <c r="A47" s="11" t="s">
        <v>70</v>
      </c>
      <c r="B47" s="9">
        <f ca="1">COUNTIFS('Lista PV'!$B$2:$B$826,$A47,'Lista PV'!$M$2:$M$826,"ATRASADO")</f>
        <v>0</v>
      </c>
      <c r="C47" s="9">
        <f ca="1">COUNTIFS('Lista PV'!$B$2:$B$826,$A47,'Lista PV'!$M$2:$M$826,"POR VENCER")</f>
        <v>0</v>
      </c>
      <c r="D47" s="9">
        <f ca="1">COUNTIFS('Lista PV'!$B$2:$B$826,$A47,'Lista PV'!$M$2:$M$826,"EN TIEMPO")</f>
        <v>0</v>
      </c>
      <c r="E47" s="9">
        <f ca="1">COUNTIFS('Lista PV'!$B$2:$B$826,$A47,'Lista PV'!$M$2:$M$826,"REVISAR")</f>
        <v>0</v>
      </c>
      <c r="F47" s="9">
        <f ca="1">COUNTIFS('Lista PV'!$B$2:$B$826,$A47,'Lista PV'!$M$2:$M$826,"REVISAR TE")</f>
        <v>0</v>
      </c>
      <c r="G47" s="19">
        <f t="shared" ca="1" si="1"/>
        <v>0</v>
      </c>
    </row>
    <row r="48" spans="1:7" x14ac:dyDescent="0.25">
      <c r="A48" s="11" t="s">
        <v>71</v>
      </c>
      <c r="B48" s="9">
        <f ca="1">COUNTIFS('Lista PV'!$B$2:$B$826,$A48,'Lista PV'!$M$2:$M$826,"ATRASADO")</f>
        <v>0</v>
      </c>
      <c r="C48" s="9">
        <f ca="1">COUNTIFS('Lista PV'!$B$2:$B$826,$A48,'Lista PV'!$M$2:$M$826,"POR VENCER")</f>
        <v>0</v>
      </c>
      <c r="D48" s="9">
        <f ca="1">COUNTIFS('Lista PV'!$B$2:$B$826,$A48,'Lista PV'!$M$2:$M$826,"EN TIEMPO")</f>
        <v>0</v>
      </c>
      <c r="E48" s="9">
        <f ca="1">COUNTIFS('Lista PV'!$B$2:$B$826,$A48,'Lista PV'!$M$2:$M$826,"REVISAR")</f>
        <v>0</v>
      </c>
      <c r="F48" s="9">
        <f ca="1">COUNTIFS('Lista PV'!$B$2:$B$826,$A48,'Lista PV'!$M$2:$M$826,"REVISAR TE")</f>
        <v>1</v>
      </c>
      <c r="G48" s="19">
        <f t="shared" ca="1" si="1"/>
        <v>1</v>
      </c>
    </row>
    <row r="49" spans="1:7" x14ac:dyDescent="0.25">
      <c r="A49" s="11" t="s">
        <v>72</v>
      </c>
      <c r="B49" s="9">
        <f ca="1">COUNTIFS('Lista PV'!$B$2:$B$826,"",'Lista PV'!$M$2:$M$826,"ATRASADO")</f>
        <v>25</v>
      </c>
      <c r="C49" s="9">
        <f ca="1">COUNTIFS('Lista PV'!$B$2:$B$826,"",'Lista PV'!$M$2:$M$826,"POR VENCER")</f>
        <v>0</v>
      </c>
      <c r="D49" s="9">
        <f ca="1">COUNTIFS('Lista PV'!$B$2:$B$826,"",'Lista PV'!$M$2:$M$826,"EN TIEMPO")</f>
        <v>1</v>
      </c>
      <c r="E49" s="9">
        <f ca="1">COUNTIFS('Lista PV'!$B$2:$B$826,"",'Lista PV'!$M$2:$M$826,"REVISAR")</f>
        <v>0</v>
      </c>
      <c r="F49" s="9">
        <f ca="1">COUNTIFS('Lista PV'!$B$2:$B$826,"",'Lista PV'!$M$2:$M$826,"REVISAR TE")</f>
        <v>0</v>
      </c>
      <c r="G49" s="19">
        <f t="shared" ca="1" si="1"/>
        <v>26</v>
      </c>
    </row>
    <row r="50" spans="1:7" x14ac:dyDescent="0.25">
      <c r="A50" s="18" t="s">
        <v>23</v>
      </c>
      <c r="B50" s="19">
        <f t="shared" ref="B50:G50" ca="1" si="2">SUM(B29:B49)</f>
        <v>173</v>
      </c>
      <c r="C50" s="19">
        <f t="shared" ca="1" si="2"/>
        <v>18</v>
      </c>
      <c r="D50" s="19">
        <f t="shared" ca="1" si="2"/>
        <v>48</v>
      </c>
      <c r="E50" s="19">
        <f t="shared" ca="1" si="2"/>
        <v>0</v>
      </c>
      <c r="F50" s="19">
        <f t="shared" ca="1" si="2"/>
        <v>1</v>
      </c>
      <c r="G50" s="19">
        <f t="shared" ca="1" si="2"/>
        <v>240</v>
      </c>
    </row>
    <row r="51" spans="1:7" x14ac:dyDescent="0.25">
      <c r="A51" s="5" t="s">
        <v>73</v>
      </c>
      <c r="G51" s="9">
        <f ca="1">G50-J7</f>
        <v>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Q863"/>
  <sheetViews>
    <sheetView tabSelected="1" zoomScale="93" zoomScaleNormal="93" workbookViewId="0">
      <pane xSplit="2" ySplit="1" topLeftCell="C797" activePane="bottomRight" state="frozen"/>
      <selection pane="topRight" activeCell="C1" sqref="C1"/>
      <selection pane="bottomLeft" activeCell="A2" sqref="A2"/>
      <selection pane="bottomRight" activeCell="N825" sqref="N825"/>
    </sheetView>
  </sheetViews>
  <sheetFormatPr baseColWidth="10" defaultColWidth="8.7109375" defaultRowHeight="15" x14ac:dyDescent="0.25"/>
  <cols>
    <col min="1" max="1" width="10" style="22" customWidth="1"/>
    <col min="2" max="2" width="34" style="22" customWidth="1"/>
    <col min="3" max="3" width="95.42578125" style="22" customWidth="1"/>
    <col min="4" max="4" width="12" style="22" customWidth="1"/>
    <col min="5" max="5" width="10" style="22" customWidth="1"/>
    <col min="6" max="6" width="13" style="22" customWidth="1"/>
    <col min="7" max="7" width="18" style="22" hidden="1" customWidth="1"/>
    <col min="8" max="8" width="9" style="22" customWidth="1"/>
    <col min="9" max="9" width="15.140625" style="22" customWidth="1"/>
    <col min="10" max="10" width="9.140625" style="22" bestFit="1" customWidth="1"/>
    <col min="11" max="11" width="8.42578125" style="22" customWidth="1"/>
    <col min="12" max="12" width="14" style="29" customWidth="1"/>
    <col min="13" max="13" width="21" style="22" customWidth="1"/>
    <col min="14" max="14" width="15" style="22" customWidth="1"/>
    <col min="15" max="15" width="8.7109375" style="22" hidden="1" customWidth="1"/>
    <col min="16" max="16" width="14" style="22" hidden="1" customWidth="1"/>
    <col min="17" max="17" width="16" style="29" customWidth="1"/>
  </cols>
  <sheetData>
    <row r="1" spans="1:17" ht="45" customHeight="1" x14ac:dyDescent="0.25">
      <c r="A1" s="21" t="s">
        <v>74</v>
      </c>
      <c r="B1" s="21" t="s">
        <v>40</v>
      </c>
      <c r="C1" s="21" t="s">
        <v>10</v>
      </c>
      <c r="D1" s="21" t="s">
        <v>75</v>
      </c>
      <c r="E1" s="21" t="s">
        <v>80</v>
      </c>
      <c r="F1" s="21" t="s">
        <v>1568</v>
      </c>
      <c r="G1" s="21" t="s">
        <v>76</v>
      </c>
      <c r="H1" s="21" t="s">
        <v>77</v>
      </c>
      <c r="I1" s="21" t="s">
        <v>1569</v>
      </c>
      <c r="J1" s="21" t="s">
        <v>1570</v>
      </c>
      <c r="K1" s="21" t="s">
        <v>78</v>
      </c>
      <c r="L1" s="21" t="s">
        <v>1571</v>
      </c>
      <c r="M1" s="21" t="s">
        <v>6</v>
      </c>
      <c r="N1" s="21" t="s">
        <v>79</v>
      </c>
      <c r="P1" s="21" t="s">
        <v>81</v>
      </c>
      <c r="Q1" s="21" t="s">
        <v>34</v>
      </c>
    </row>
    <row r="2" spans="1:17" ht="16.5" hidden="1" x14ac:dyDescent="0.3">
      <c r="A2" s="23" t="s">
        <v>82</v>
      </c>
      <c r="B2" s="23" t="s">
        <v>56</v>
      </c>
      <c r="C2" s="23" t="s">
        <v>85</v>
      </c>
      <c r="D2" s="24">
        <v>46029</v>
      </c>
      <c r="E2" s="25">
        <v>1</v>
      </c>
      <c r="F2" s="24">
        <v>46029</v>
      </c>
      <c r="G2" s="23" t="s">
        <v>83</v>
      </c>
      <c r="H2" s="26">
        <v>21</v>
      </c>
      <c r="I2" s="24">
        <f t="shared" ref="I2:I65" si="0">IF(AND(D2&lt;&gt;"",H2&lt;&gt;""),D2+H2,"")</f>
        <v>46050</v>
      </c>
      <c r="J2" s="26">
        <f t="shared" ref="J2:J65" ca="1" si="1">I2-TODAY()</f>
        <v>-254</v>
      </c>
      <c r="K2" s="26" t="str">
        <f t="shared" ref="K2:K65" ca="1" si="2">IF(AND(L2="",ISNUMBER(IF(Q2&lt;&gt;"",Q2,I2))),IF(IF(Q2&lt;&gt;"",Q2,I2)&lt;TODAY(),TODAY()-IF(Q2&lt;&gt;"",Q2,I2),""),"")</f>
        <v/>
      </c>
      <c r="L2" s="27" t="s">
        <v>1567</v>
      </c>
      <c r="M2" s="26" t="str">
        <f ca="1">IF(L2&lt;&gt;"","Entregado",IF(NOT(ISNUMBER(IF(Q2&lt;&gt;"",Q2,I2))),"REVISAR TE",IF(AND(ISNUMBER(Resumen!$B$3),IF(Q2&lt;&gt;"",Q2,I2)&lt;Resumen!$B$3),"REVISAR",IF(IF(Q2&lt;&gt;"",Q2,I2)&lt;TODAY(),"ATRASADO",IF(IF(Q2&lt;&gt;"",Q2,I2)-TODAY()&lt;=2,"POR VENCER","EN TIEMPO")))))</f>
        <v>Entregado</v>
      </c>
      <c r="N2" s="23" t="s">
        <v>84</v>
      </c>
      <c r="P2" s="23" t="s">
        <v>86</v>
      </c>
      <c r="Q2" s="28"/>
    </row>
    <row r="3" spans="1:17" ht="16.5" hidden="1" x14ac:dyDescent="0.3">
      <c r="A3" s="23" t="s">
        <v>87</v>
      </c>
      <c r="B3" s="23" t="s">
        <v>56</v>
      </c>
      <c r="C3" s="23" t="s">
        <v>90</v>
      </c>
      <c r="D3" s="24">
        <v>46029</v>
      </c>
      <c r="E3" s="25">
        <v>1</v>
      </c>
      <c r="F3" s="24">
        <v>46029</v>
      </c>
      <c r="G3" s="23" t="s">
        <v>88</v>
      </c>
      <c r="H3" s="26">
        <v>0</v>
      </c>
      <c r="I3" s="24">
        <f t="shared" si="0"/>
        <v>46029</v>
      </c>
      <c r="J3" s="26">
        <f t="shared" ca="1" si="1"/>
        <v>-275</v>
      </c>
      <c r="K3" s="26" t="str">
        <f t="shared" ca="1" si="2"/>
        <v/>
      </c>
      <c r="L3" s="27" t="s">
        <v>1567</v>
      </c>
      <c r="M3" s="26" t="str">
        <f ca="1">IF(L3&lt;&gt;"","Entregado",IF(NOT(ISNUMBER(IF(Q3&lt;&gt;"",Q3,I3))),"REVISAR TE",IF(AND(ISNUMBER(Resumen!$B$3),IF(Q3&lt;&gt;"",Q3,I3)&lt;Resumen!$B$3),"REVISAR",IF(IF(Q3&lt;&gt;"",Q3,I3)&lt;TODAY(),"ATRASADO",IF(IF(Q3&lt;&gt;"",Q3,I3)-TODAY()&lt;=2,"POR VENCER","EN TIEMPO")))))</f>
        <v>Entregado</v>
      </c>
      <c r="N3" s="23" t="s">
        <v>89</v>
      </c>
      <c r="P3" s="23" t="s">
        <v>91</v>
      </c>
      <c r="Q3" s="28"/>
    </row>
    <row r="4" spans="1:17" ht="16.5" hidden="1" x14ac:dyDescent="0.3">
      <c r="A4" s="23" t="s">
        <v>92</v>
      </c>
      <c r="B4" s="23"/>
      <c r="C4" s="23" t="s">
        <v>95</v>
      </c>
      <c r="D4" s="24">
        <v>46029</v>
      </c>
      <c r="E4" s="25">
        <v>22</v>
      </c>
      <c r="F4" s="24">
        <v>46029</v>
      </c>
      <c r="G4" s="23" t="s">
        <v>93</v>
      </c>
      <c r="H4" s="26">
        <v>28</v>
      </c>
      <c r="I4" s="24">
        <f t="shared" si="0"/>
        <v>46057</v>
      </c>
      <c r="J4" s="26">
        <f t="shared" ca="1" si="1"/>
        <v>-247</v>
      </c>
      <c r="K4" s="26" t="str">
        <f t="shared" ca="1" si="2"/>
        <v/>
      </c>
      <c r="L4" s="27" t="s">
        <v>1567</v>
      </c>
      <c r="M4" s="26" t="str">
        <f ca="1">IF(L4&lt;&gt;"","Entregado",IF(NOT(ISNUMBER(IF(Q4&lt;&gt;"",Q4,I4))),"REVISAR TE",IF(AND(ISNUMBER(Resumen!$B$3),IF(Q4&lt;&gt;"",Q4,I4)&lt;Resumen!$B$3),"REVISAR",IF(IF(Q4&lt;&gt;"",Q4,I4)&lt;TODAY(),"ATRASADO",IF(IF(Q4&lt;&gt;"",Q4,I4)-TODAY()&lt;=2,"POR VENCER","EN TIEMPO")))))</f>
        <v>Entregado</v>
      </c>
      <c r="N4" s="23" t="s">
        <v>94</v>
      </c>
      <c r="P4" s="23" t="s">
        <v>96</v>
      </c>
      <c r="Q4" s="28"/>
    </row>
    <row r="5" spans="1:17" ht="16.5" hidden="1" x14ac:dyDescent="0.3">
      <c r="A5" s="23" t="s">
        <v>97</v>
      </c>
      <c r="B5" s="23" t="s">
        <v>65</v>
      </c>
      <c r="C5" s="23" t="s">
        <v>99</v>
      </c>
      <c r="D5" s="24">
        <v>46031</v>
      </c>
      <c r="E5" s="25">
        <v>15</v>
      </c>
      <c r="F5" s="24">
        <v>46031</v>
      </c>
      <c r="G5" s="23" t="s">
        <v>83</v>
      </c>
      <c r="H5" s="26">
        <v>21</v>
      </c>
      <c r="I5" s="24">
        <f t="shared" si="0"/>
        <v>46052</v>
      </c>
      <c r="J5" s="26">
        <f t="shared" ca="1" si="1"/>
        <v>-252</v>
      </c>
      <c r="K5" s="26" t="str">
        <f t="shared" ca="1" si="2"/>
        <v/>
      </c>
      <c r="L5" s="27" t="s">
        <v>1567</v>
      </c>
      <c r="M5" s="26" t="str">
        <f ca="1">IF(L5&lt;&gt;"","Entregado",IF(NOT(ISNUMBER(IF(Q5&lt;&gt;"",Q5,I5))),"REVISAR TE",IF(AND(ISNUMBER(Resumen!$B$3),IF(Q5&lt;&gt;"",Q5,I5)&lt;Resumen!$B$3),"REVISAR",IF(IF(Q5&lt;&gt;"",Q5,I5)&lt;TODAY(),"ATRASADO",IF(IF(Q5&lt;&gt;"",Q5,I5)-TODAY()&lt;=2,"POR VENCER","EN TIEMPO")))))</f>
        <v>Entregado</v>
      </c>
      <c r="N5" s="23" t="s">
        <v>98</v>
      </c>
      <c r="P5" s="23" t="s">
        <v>100</v>
      </c>
      <c r="Q5" s="28"/>
    </row>
    <row r="6" spans="1:17" ht="16.5" hidden="1" x14ac:dyDescent="0.3">
      <c r="A6" s="23" t="s">
        <v>97</v>
      </c>
      <c r="B6" s="23" t="s">
        <v>65</v>
      </c>
      <c r="C6" s="23" t="s">
        <v>101</v>
      </c>
      <c r="D6" s="24">
        <v>46031</v>
      </c>
      <c r="E6" s="25">
        <v>10</v>
      </c>
      <c r="F6" s="24">
        <v>46031</v>
      </c>
      <c r="G6" s="23" t="s">
        <v>83</v>
      </c>
      <c r="H6" s="26">
        <v>21</v>
      </c>
      <c r="I6" s="24">
        <f t="shared" si="0"/>
        <v>46052</v>
      </c>
      <c r="J6" s="26">
        <f t="shared" ca="1" si="1"/>
        <v>-252</v>
      </c>
      <c r="K6" s="26" t="str">
        <f t="shared" ca="1" si="2"/>
        <v/>
      </c>
      <c r="L6" s="27" t="s">
        <v>1567</v>
      </c>
      <c r="M6" s="26" t="str">
        <f ca="1">IF(L6&lt;&gt;"","Entregado",IF(NOT(ISNUMBER(IF(Q6&lt;&gt;"",Q6,I6))),"REVISAR TE",IF(AND(ISNUMBER(Resumen!$B$3),IF(Q6&lt;&gt;"",Q6,I6)&lt;Resumen!$B$3),"REVISAR",IF(IF(Q6&lt;&gt;"",Q6,I6)&lt;TODAY(),"ATRASADO",IF(IF(Q6&lt;&gt;"",Q6,I6)-TODAY()&lt;=2,"POR VENCER","EN TIEMPO")))))</f>
        <v>Entregado</v>
      </c>
      <c r="N6" s="23" t="s">
        <v>98</v>
      </c>
      <c r="P6" s="23" t="s">
        <v>100</v>
      </c>
      <c r="Q6" s="28"/>
    </row>
    <row r="7" spans="1:17" ht="16.5" hidden="1" x14ac:dyDescent="0.3">
      <c r="A7" s="23" t="s">
        <v>102</v>
      </c>
      <c r="B7" s="23" t="s">
        <v>53</v>
      </c>
      <c r="C7" s="23" t="s">
        <v>104</v>
      </c>
      <c r="D7" s="24">
        <v>46031</v>
      </c>
      <c r="E7" s="25">
        <v>4</v>
      </c>
      <c r="F7" s="24">
        <v>46031</v>
      </c>
      <c r="G7" s="23" t="s">
        <v>103</v>
      </c>
      <c r="H7" s="26">
        <v>35</v>
      </c>
      <c r="I7" s="24">
        <f t="shared" si="0"/>
        <v>46066</v>
      </c>
      <c r="J7" s="26">
        <f t="shared" ca="1" si="1"/>
        <v>-238</v>
      </c>
      <c r="K7" s="26" t="str">
        <f t="shared" ca="1" si="2"/>
        <v/>
      </c>
      <c r="L7" s="27" t="s">
        <v>1567</v>
      </c>
      <c r="M7" s="26" t="str">
        <f ca="1">IF(L7&lt;&gt;"","Entregado",IF(NOT(ISNUMBER(IF(Q7&lt;&gt;"",Q7,I7))),"REVISAR TE",IF(AND(ISNUMBER(Resumen!$B$3),IF(Q7&lt;&gt;"",Q7,I7)&lt;Resumen!$B$3),"REVISAR",IF(IF(Q7&lt;&gt;"",Q7,I7)&lt;TODAY(),"ATRASADO",IF(IF(Q7&lt;&gt;"",Q7,I7)-TODAY()&lt;=2,"POR VENCER","EN TIEMPO")))))</f>
        <v>Entregado</v>
      </c>
      <c r="N7" s="23" t="s">
        <v>94</v>
      </c>
      <c r="P7" s="23" t="s">
        <v>105</v>
      </c>
      <c r="Q7" s="28"/>
    </row>
    <row r="8" spans="1:17" ht="16.5" hidden="1" x14ac:dyDescent="0.3">
      <c r="A8" s="23" t="s">
        <v>102</v>
      </c>
      <c r="B8" s="23" t="s">
        <v>53</v>
      </c>
      <c r="C8" s="23" t="s">
        <v>106</v>
      </c>
      <c r="D8" s="24">
        <v>46031</v>
      </c>
      <c r="E8" s="25">
        <v>4</v>
      </c>
      <c r="F8" s="24">
        <v>46031</v>
      </c>
      <c r="G8" s="23" t="s">
        <v>103</v>
      </c>
      <c r="H8" s="26">
        <v>35</v>
      </c>
      <c r="I8" s="24">
        <f t="shared" si="0"/>
        <v>46066</v>
      </c>
      <c r="J8" s="26">
        <f t="shared" ca="1" si="1"/>
        <v>-238</v>
      </c>
      <c r="K8" s="26" t="str">
        <f t="shared" ca="1" si="2"/>
        <v/>
      </c>
      <c r="L8" s="27" t="s">
        <v>1567</v>
      </c>
      <c r="M8" s="26" t="str">
        <f ca="1">IF(L8&lt;&gt;"","Entregado",IF(NOT(ISNUMBER(IF(Q8&lt;&gt;"",Q8,I8))),"REVISAR TE",IF(AND(ISNUMBER(Resumen!$B$3),IF(Q8&lt;&gt;"",Q8,I8)&lt;Resumen!$B$3),"REVISAR",IF(IF(Q8&lt;&gt;"",Q8,I8)&lt;TODAY(),"ATRASADO",IF(IF(Q8&lt;&gt;"",Q8,I8)-TODAY()&lt;=2,"POR VENCER","EN TIEMPO")))))</f>
        <v>Entregado</v>
      </c>
      <c r="N8" s="23" t="s">
        <v>94</v>
      </c>
      <c r="P8" s="23" t="s">
        <v>105</v>
      </c>
      <c r="Q8" s="28"/>
    </row>
    <row r="9" spans="1:17" ht="16.5" hidden="1" x14ac:dyDescent="0.3">
      <c r="A9" s="23" t="s">
        <v>102</v>
      </c>
      <c r="B9" s="23" t="s">
        <v>53</v>
      </c>
      <c r="C9" s="23" t="s">
        <v>107</v>
      </c>
      <c r="D9" s="24">
        <v>46031</v>
      </c>
      <c r="E9" s="25">
        <v>4</v>
      </c>
      <c r="F9" s="24">
        <v>46031</v>
      </c>
      <c r="G9" s="23" t="s">
        <v>103</v>
      </c>
      <c r="H9" s="26">
        <v>35</v>
      </c>
      <c r="I9" s="24">
        <f t="shared" si="0"/>
        <v>46066</v>
      </c>
      <c r="J9" s="26">
        <f t="shared" ca="1" si="1"/>
        <v>-238</v>
      </c>
      <c r="K9" s="26" t="str">
        <f t="shared" ca="1" si="2"/>
        <v/>
      </c>
      <c r="L9" s="27" t="s">
        <v>1567</v>
      </c>
      <c r="M9" s="26" t="str">
        <f ca="1">IF(L9&lt;&gt;"","Entregado",IF(NOT(ISNUMBER(IF(Q9&lt;&gt;"",Q9,I9))),"REVISAR TE",IF(AND(ISNUMBER(Resumen!$B$3),IF(Q9&lt;&gt;"",Q9,I9)&lt;Resumen!$B$3),"REVISAR",IF(IF(Q9&lt;&gt;"",Q9,I9)&lt;TODAY(),"ATRASADO",IF(IF(Q9&lt;&gt;"",Q9,I9)-TODAY()&lt;=2,"POR VENCER","EN TIEMPO")))))</f>
        <v>Entregado</v>
      </c>
      <c r="N9" s="23" t="s">
        <v>94</v>
      </c>
      <c r="P9" s="23" t="s">
        <v>105</v>
      </c>
      <c r="Q9" s="28"/>
    </row>
    <row r="10" spans="1:17" ht="16.5" hidden="1" x14ac:dyDescent="0.3">
      <c r="A10" s="23" t="s">
        <v>102</v>
      </c>
      <c r="B10" s="23" t="s">
        <v>53</v>
      </c>
      <c r="C10" s="23" t="s">
        <v>108</v>
      </c>
      <c r="D10" s="24">
        <v>46031</v>
      </c>
      <c r="E10" s="25">
        <v>4</v>
      </c>
      <c r="F10" s="24">
        <v>46031</v>
      </c>
      <c r="G10" s="23" t="s">
        <v>103</v>
      </c>
      <c r="H10" s="26">
        <v>35</v>
      </c>
      <c r="I10" s="24">
        <f t="shared" si="0"/>
        <v>46066</v>
      </c>
      <c r="J10" s="26">
        <f t="shared" ca="1" si="1"/>
        <v>-238</v>
      </c>
      <c r="K10" s="26" t="str">
        <f t="shared" ca="1" si="2"/>
        <v/>
      </c>
      <c r="L10" s="27" t="s">
        <v>1567</v>
      </c>
      <c r="M10" s="26" t="str">
        <f ca="1">IF(L10&lt;&gt;"","Entregado",IF(NOT(ISNUMBER(IF(Q10&lt;&gt;"",Q10,I10))),"REVISAR TE",IF(AND(ISNUMBER(Resumen!$B$3),IF(Q10&lt;&gt;"",Q10,I10)&lt;Resumen!$B$3),"REVISAR",IF(IF(Q10&lt;&gt;"",Q10,I10)&lt;TODAY(),"ATRASADO",IF(IF(Q10&lt;&gt;"",Q10,I10)-TODAY()&lt;=2,"POR VENCER","EN TIEMPO")))))</f>
        <v>Entregado</v>
      </c>
      <c r="N10" s="23" t="s">
        <v>94</v>
      </c>
      <c r="P10" s="23" t="s">
        <v>105</v>
      </c>
      <c r="Q10" s="28"/>
    </row>
    <row r="11" spans="1:17" ht="16.5" hidden="1" x14ac:dyDescent="0.3">
      <c r="A11" s="23" t="s">
        <v>102</v>
      </c>
      <c r="B11" s="23" t="s">
        <v>53</v>
      </c>
      <c r="C11" s="23" t="s">
        <v>109</v>
      </c>
      <c r="D11" s="24">
        <v>46031</v>
      </c>
      <c r="E11" s="25">
        <v>4</v>
      </c>
      <c r="F11" s="24">
        <v>46031</v>
      </c>
      <c r="G11" s="23" t="s">
        <v>103</v>
      </c>
      <c r="H11" s="26">
        <v>35</v>
      </c>
      <c r="I11" s="24">
        <f t="shared" si="0"/>
        <v>46066</v>
      </c>
      <c r="J11" s="26">
        <f t="shared" ca="1" si="1"/>
        <v>-238</v>
      </c>
      <c r="K11" s="26" t="str">
        <f t="shared" ca="1" si="2"/>
        <v/>
      </c>
      <c r="L11" s="27" t="s">
        <v>1567</v>
      </c>
      <c r="M11" s="26" t="str">
        <f ca="1">IF(L11&lt;&gt;"","Entregado",IF(NOT(ISNUMBER(IF(Q11&lt;&gt;"",Q11,I11))),"REVISAR TE",IF(AND(ISNUMBER(Resumen!$B$3),IF(Q11&lt;&gt;"",Q11,I11)&lt;Resumen!$B$3),"REVISAR",IF(IF(Q11&lt;&gt;"",Q11,I11)&lt;TODAY(),"ATRASADO",IF(IF(Q11&lt;&gt;"",Q11,I11)-TODAY()&lt;=2,"POR VENCER","EN TIEMPO")))))</f>
        <v>Entregado</v>
      </c>
      <c r="N11" s="23" t="s">
        <v>94</v>
      </c>
      <c r="P11" s="23" t="s">
        <v>105</v>
      </c>
      <c r="Q11" s="28"/>
    </row>
    <row r="12" spans="1:17" ht="16.5" hidden="1" x14ac:dyDescent="0.3">
      <c r="A12" s="23" t="s">
        <v>102</v>
      </c>
      <c r="B12" s="23" t="s">
        <v>53</v>
      </c>
      <c r="C12" s="23" t="s">
        <v>110</v>
      </c>
      <c r="D12" s="24">
        <v>46031</v>
      </c>
      <c r="E12" s="25">
        <v>4</v>
      </c>
      <c r="F12" s="24">
        <v>46031</v>
      </c>
      <c r="G12" s="23" t="s">
        <v>103</v>
      </c>
      <c r="H12" s="26">
        <v>35</v>
      </c>
      <c r="I12" s="24">
        <f t="shared" si="0"/>
        <v>46066</v>
      </c>
      <c r="J12" s="26">
        <f t="shared" ca="1" si="1"/>
        <v>-238</v>
      </c>
      <c r="K12" s="26" t="str">
        <f t="shared" ca="1" si="2"/>
        <v/>
      </c>
      <c r="L12" s="27" t="s">
        <v>1567</v>
      </c>
      <c r="M12" s="26" t="str">
        <f ca="1">IF(L12&lt;&gt;"","Entregado",IF(NOT(ISNUMBER(IF(Q12&lt;&gt;"",Q12,I12))),"REVISAR TE",IF(AND(ISNUMBER(Resumen!$B$3),IF(Q12&lt;&gt;"",Q12,I12)&lt;Resumen!$B$3),"REVISAR",IF(IF(Q12&lt;&gt;"",Q12,I12)&lt;TODAY(),"ATRASADO",IF(IF(Q12&lt;&gt;"",Q12,I12)-TODAY()&lt;=2,"POR VENCER","EN TIEMPO")))))</f>
        <v>Entregado</v>
      </c>
      <c r="N12" s="23" t="s">
        <v>94</v>
      </c>
      <c r="P12" s="23" t="s">
        <v>105</v>
      </c>
      <c r="Q12" s="28"/>
    </row>
    <row r="13" spans="1:17" ht="16.5" hidden="1" x14ac:dyDescent="0.3">
      <c r="A13" s="23" t="s">
        <v>102</v>
      </c>
      <c r="B13" s="23" t="s">
        <v>53</v>
      </c>
      <c r="C13" s="23" t="s">
        <v>111</v>
      </c>
      <c r="D13" s="24">
        <v>46031</v>
      </c>
      <c r="E13" s="25">
        <v>4</v>
      </c>
      <c r="F13" s="24">
        <v>46031</v>
      </c>
      <c r="G13" s="23" t="s">
        <v>103</v>
      </c>
      <c r="H13" s="26">
        <v>35</v>
      </c>
      <c r="I13" s="24">
        <f t="shared" si="0"/>
        <v>46066</v>
      </c>
      <c r="J13" s="26">
        <f t="shared" ca="1" si="1"/>
        <v>-238</v>
      </c>
      <c r="K13" s="26" t="str">
        <f t="shared" ca="1" si="2"/>
        <v/>
      </c>
      <c r="L13" s="27" t="s">
        <v>1567</v>
      </c>
      <c r="M13" s="26" t="str">
        <f ca="1">IF(L13&lt;&gt;"","Entregado",IF(NOT(ISNUMBER(IF(Q13&lt;&gt;"",Q13,I13))),"REVISAR TE",IF(AND(ISNUMBER(Resumen!$B$3),IF(Q13&lt;&gt;"",Q13,I13)&lt;Resumen!$B$3),"REVISAR",IF(IF(Q13&lt;&gt;"",Q13,I13)&lt;TODAY(),"ATRASADO",IF(IF(Q13&lt;&gt;"",Q13,I13)-TODAY()&lt;=2,"POR VENCER","EN TIEMPO")))))</f>
        <v>Entregado</v>
      </c>
      <c r="N13" s="23" t="s">
        <v>94</v>
      </c>
      <c r="P13" s="23" t="s">
        <v>105</v>
      </c>
      <c r="Q13" s="28"/>
    </row>
    <row r="14" spans="1:17" ht="16.5" hidden="1" x14ac:dyDescent="0.3">
      <c r="A14" s="23" t="s">
        <v>102</v>
      </c>
      <c r="B14" s="23" t="s">
        <v>53</v>
      </c>
      <c r="C14" s="23" t="s">
        <v>112</v>
      </c>
      <c r="D14" s="24">
        <v>46031</v>
      </c>
      <c r="E14" s="25">
        <v>4</v>
      </c>
      <c r="F14" s="24">
        <v>46031</v>
      </c>
      <c r="G14" s="23" t="s">
        <v>103</v>
      </c>
      <c r="H14" s="26">
        <v>35</v>
      </c>
      <c r="I14" s="24">
        <f t="shared" si="0"/>
        <v>46066</v>
      </c>
      <c r="J14" s="26">
        <f t="shared" ca="1" si="1"/>
        <v>-238</v>
      </c>
      <c r="K14" s="26" t="str">
        <f t="shared" ca="1" si="2"/>
        <v/>
      </c>
      <c r="L14" s="27" t="s">
        <v>1567</v>
      </c>
      <c r="M14" s="26" t="str">
        <f ca="1">IF(L14&lt;&gt;"","Entregado",IF(NOT(ISNUMBER(IF(Q14&lt;&gt;"",Q14,I14))),"REVISAR TE",IF(AND(ISNUMBER(Resumen!$B$3),IF(Q14&lt;&gt;"",Q14,I14)&lt;Resumen!$B$3),"REVISAR",IF(IF(Q14&lt;&gt;"",Q14,I14)&lt;TODAY(),"ATRASADO",IF(IF(Q14&lt;&gt;"",Q14,I14)-TODAY()&lt;=2,"POR VENCER","EN TIEMPO")))))</f>
        <v>Entregado</v>
      </c>
      <c r="N14" s="23" t="s">
        <v>94</v>
      </c>
      <c r="P14" s="23" t="s">
        <v>105</v>
      </c>
      <c r="Q14" s="28"/>
    </row>
    <row r="15" spans="1:17" ht="16.5" hidden="1" x14ac:dyDescent="0.3">
      <c r="A15" s="23" t="s">
        <v>102</v>
      </c>
      <c r="B15" s="23" t="s">
        <v>53</v>
      </c>
      <c r="C15" s="23" t="s">
        <v>113</v>
      </c>
      <c r="D15" s="24">
        <v>46031</v>
      </c>
      <c r="E15" s="25">
        <v>4</v>
      </c>
      <c r="F15" s="24">
        <v>46031</v>
      </c>
      <c r="G15" s="23" t="s">
        <v>103</v>
      </c>
      <c r="H15" s="26">
        <v>35</v>
      </c>
      <c r="I15" s="24">
        <f t="shared" si="0"/>
        <v>46066</v>
      </c>
      <c r="J15" s="26">
        <f t="shared" ca="1" si="1"/>
        <v>-238</v>
      </c>
      <c r="K15" s="26" t="str">
        <f t="shared" ca="1" si="2"/>
        <v/>
      </c>
      <c r="L15" s="27" t="s">
        <v>1567</v>
      </c>
      <c r="M15" s="26" t="str">
        <f ca="1">IF(L15&lt;&gt;"","Entregado",IF(NOT(ISNUMBER(IF(Q15&lt;&gt;"",Q15,I15))),"REVISAR TE",IF(AND(ISNUMBER(Resumen!$B$3),IF(Q15&lt;&gt;"",Q15,I15)&lt;Resumen!$B$3),"REVISAR",IF(IF(Q15&lt;&gt;"",Q15,I15)&lt;TODAY(),"ATRASADO",IF(IF(Q15&lt;&gt;"",Q15,I15)-TODAY()&lt;=2,"POR VENCER","EN TIEMPO")))))</f>
        <v>Entregado</v>
      </c>
      <c r="N15" s="23" t="s">
        <v>94</v>
      </c>
      <c r="P15" s="23" t="s">
        <v>105</v>
      </c>
      <c r="Q15" s="28"/>
    </row>
    <row r="16" spans="1:17" ht="16.5" hidden="1" x14ac:dyDescent="0.3">
      <c r="A16" s="23" t="s">
        <v>102</v>
      </c>
      <c r="B16" s="23" t="s">
        <v>53</v>
      </c>
      <c r="C16" s="23" t="s">
        <v>114</v>
      </c>
      <c r="D16" s="24">
        <v>46031</v>
      </c>
      <c r="E16" s="25">
        <v>4</v>
      </c>
      <c r="F16" s="24">
        <v>46031</v>
      </c>
      <c r="G16" s="23" t="s">
        <v>103</v>
      </c>
      <c r="H16" s="26">
        <v>35</v>
      </c>
      <c r="I16" s="24">
        <f t="shared" si="0"/>
        <v>46066</v>
      </c>
      <c r="J16" s="26">
        <f t="shared" ca="1" si="1"/>
        <v>-238</v>
      </c>
      <c r="K16" s="26" t="str">
        <f t="shared" ca="1" si="2"/>
        <v/>
      </c>
      <c r="L16" s="27" t="s">
        <v>1567</v>
      </c>
      <c r="M16" s="26" t="str">
        <f ca="1">IF(L16&lt;&gt;"","Entregado",IF(NOT(ISNUMBER(IF(Q16&lt;&gt;"",Q16,I16))),"REVISAR TE",IF(AND(ISNUMBER(Resumen!$B$3),IF(Q16&lt;&gt;"",Q16,I16)&lt;Resumen!$B$3),"REVISAR",IF(IF(Q16&lt;&gt;"",Q16,I16)&lt;TODAY(),"ATRASADO",IF(IF(Q16&lt;&gt;"",Q16,I16)-TODAY()&lt;=2,"POR VENCER","EN TIEMPO")))))</f>
        <v>Entregado</v>
      </c>
      <c r="N16" s="23" t="s">
        <v>94</v>
      </c>
      <c r="P16" s="23" t="s">
        <v>105</v>
      </c>
      <c r="Q16" s="28"/>
    </row>
    <row r="17" spans="1:17" ht="16.5" hidden="1" x14ac:dyDescent="0.3">
      <c r="A17" s="23" t="s">
        <v>102</v>
      </c>
      <c r="B17" s="23" t="s">
        <v>53</v>
      </c>
      <c r="C17" s="23" t="s">
        <v>115</v>
      </c>
      <c r="D17" s="24">
        <v>46031</v>
      </c>
      <c r="E17" s="25">
        <v>4</v>
      </c>
      <c r="F17" s="24">
        <v>46031</v>
      </c>
      <c r="G17" s="23" t="s">
        <v>103</v>
      </c>
      <c r="H17" s="26">
        <v>35</v>
      </c>
      <c r="I17" s="24">
        <f t="shared" si="0"/>
        <v>46066</v>
      </c>
      <c r="J17" s="26">
        <f t="shared" ca="1" si="1"/>
        <v>-238</v>
      </c>
      <c r="K17" s="26" t="str">
        <f t="shared" ca="1" si="2"/>
        <v/>
      </c>
      <c r="L17" s="27" t="s">
        <v>1567</v>
      </c>
      <c r="M17" s="26" t="str">
        <f ca="1">IF(L17&lt;&gt;"","Entregado",IF(NOT(ISNUMBER(IF(Q17&lt;&gt;"",Q17,I17))),"REVISAR TE",IF(AND(ISNUMBER(Resumen!$B$3),IF(Q17&lt;&gt;"",Q17,I17)&lt;Resumen!$B$3),"REVISAR",IF(IF(Q17&lt;&gt;"",Q17,I17)&lt;TODAY(),"ATRASADO",IF(IF(Q17&lt;&gt;"",Q17,I17)-TODAY()&lt;=2,"POR VENCER","EN TIEMPO")))))</f>
        <v>Entregado</v>
      </c>
      <c r="N17" s="23" t="s">
        <v>94</v>
      </c>
      <c r="P17" s="23" t="s">
        <v>105</v>
      </c>
      <c r="Q17" s="28"/>
    </row>
    <row r="18" spans="1:17" ht="16.5" hidden="1" x14ac:dyDescent="0.3">
      <c r="A18" s="23" t="s">
        <v>102</v>
      </c>
      <c r="B18" s="23" t="s">
        <v>53</v>
      </c>
      <c r="C18" s="23" t="s">
        <v>116</v>
      </c>
      <c r="D18" s="24">
        <v>46031</v>
      </c>
      <c r="E18" s="25">
        <v>4</v>
      </c>
      <c r="F18" s="24">
        <v>46031</v>
      </c>
      <c r="G18" s="23" t="s">
        <v>103</v>
      </c>
      <c r="H18" s="26">
        <v>35</v>
      </c>
      <c r="I18" s="24">
        <f t="shared" si="0"/>
        <v>46066</v>
      </c>
      <c r="J18" s="26">
        <f t="shared" ca="1" si="1"/>
        <v>-238</v>
      </c>
      <c r="K18" s="26" t="str">
        <f t="shared" ca="1" si="2"/>
        <v/>
      </c>
      <c r="L18" s="27" t="s">
        <v>1567</v>
      </c>
      <c r="M18" s="26" t="str">
        <f ca="1">IF(L18&lt;&gt;"","Entregado",IF(NOT(ISNUMBER(IF(Q18&lt;&gt;"",Q18,I18))),"REVISAR TE",IF(AND(ISNUMBER(Resumen!$B$3),IF(Q18&lt;&gt;"",Q18,I18)&lt;Resumen!$B$3),"REVISAR",IF(IF(Q18&lt;&gt;"",Q18,I18)&lt;TODAY(),"ATRASADO",IF(IF(Q18&lt;&gt;"",Q18,I18)-TODAY()&lt;=2,"POR VENCER","EN TIEMPO")))))</f>
        <v>Entregado</v>
      </c>
      <c r="N18" s="23" t="s">
        <v>94</v>
      </c>
      <c r="P18" s="23" t="s">
        <v>105</v>
      </c>
      <c r="Q18" s="28"/>
    </row>
    <row r="19" spans="1:17" ht="16.5" hidden="1" x14ac:dyDescent="0.3">
      <c r="A19" s="23" t="s">
        <v>102</v>
      </c>
      <c r="B19" s="23" t="s">
        <v>53</v>
      </c>
      <c r="C19" s="23" t="s">
        <v>117</v>
      </c>
      <c r="D19" s="24">
        <v>46031</v>
      </c>
      <c r="E19" s="25">
        <v>4</v>
      </c>
      <c r="F19" s="24">
        <v>46031</v>
      </c>
      <c r="G19" s="23" t="s">
        <v>103</v>
      </c>
      <c r="H19" s="26">
        <v>35</v>
      </c>
      <c r="I19" s="24">
        <f t="shared" si="0"/>
        <v>46066</v>
      </c>
      <c r="J19" s="26">
        <f t="shared" ca="1" si="1"/>
        <v>-238</v>
      </c>
      <c r="K19" s="26" t="str">
        <f t="shared" ca="1" si="2"/>
        <v/>
      </c>
      <c r="L19" s="27" t="s">
        <v>1567</v>
      </c>
      <c r="M19" s="26" t="str">
        <f ca="1">IF(L19&lt;&gt;"","Entregado",IF(NOT(ISNUMBER(IF(Q19&lt;&gt;"",Q19,I19))),"REVISAR TE",IF(AND(ISNUMBER(Resumen!$B$3),IF(Q19&lt;&gt;"",Q19,I19)&lt;Resumen!$B$3),"REVISAR",IF(IF(Q19&lt;&gt;"",Q19,I19)&lt;TODAY(),"ATRASADO",IF(IF(Q19&lt;&gt;"",Q19,I19)-TODAY()&lt;=2,"POR VENCER","EN TIEMPO")))))</f>
        <v>Entregado</v>
      </c>
      <c r="N19" s="23" t="s">
        <v>94</v>
      </c>
      <c r="P19" s="23" t="s">
        <v>105</v>
      </c>
      <c r="Q19" s="28"/>
    </row>
    <row r="20" spans="1:17" ht="16.5" hidden="1" x14ac:dyDescent="0.3">
      <c r="A20" s="23" t="s">
        <v>102</v>
      </c>
      <c r="B20" s="23" t="s">
        <v>53</v>
      </c>
      <c r="C20" s="23" t="s">
        <v>118</v>
      </c>
      <c r="D20" s="24">
        <v>46031</v>
      </c>
      <c r="E20" s="25">
        <v>4</v>
      </c>
      <c r="F20" s="24">
        <v>46031</v>
      </c>
      <c r="G20" s="23" t="s">
        <v>103</v>
      </c>
      <c r="H20" s="26">
        <v>35</v>
      </c>
      <c r="I20" s="24">
        <f t="shared" si="0"/>
        <v>46066</v>
      </c>
      <c r="J20" s="26">
        <f t="shared" ca="1" si="1"/>
        <v>-238</v>
      </c>
      <c r="K20" s="26" t="str">
        <f t="shared" ca="1" si="2"/>
        <v/>
      </c>
      <c r="L20" s="27" t="s">
        <v>1567</v>
      </c>
      <c r="M20" s="26" t="str">
        <f ca="1">IF(L20&lt;&gt;"","Entregado",IF(NOT(ISNUMBER(IF(Q20&lt;&gt;"",Q20,I20))),"REVISAR TE",IF(AND(ISNUMBER(Resumen!$B$3),IF(Q20&lt;&gt;"",Q20,I20)&lt;Resumen!$B$3),"REVISAR",IF(IF(Q20&lt;&gt;"",Q20,I20)&lt;TODAY(),"ATRASADO",IF(IF(Q20&lt;&gt;"",Q20,I20)-TODAY()&lt;=2,"POR VENCER","EN TIEMPO")))))</f>
        <v>Entregado</v>
      </c>
      <c r="N20" s="23" t="s">
        <v>94</v>
      </c>
      <c r="P20" s="23" t="s">
        <v>105</v>
      </c>
      <c r="Q20" s="28"/>
    </row>
    <row r="21" spans="1:17" ht="16.5" hidden="1" x14ac:dyDescent="0.3">
      <c r="A21" s="23" t="s">
        <v>102</v>
      </c>
      <c r="B21" s="23" t="s">
        <v>53</v>
      </c>
      <c r="C21" s="23" t="s">
        <v>119</v>
      </c>
      <c r="D21" s="24">
        <v>46031</v>
      </c>
      <c r="E21" s="25">
        <v>4</v>
      </c>
      <c r="F21" s="24">
        <v>46031</v>
      </c>
      <c r="G21" s="23" t="s">
        <v>103</v>
      </c>
      <c r="H21" s="26">
        <v>35</v>
      </c>
      <c r="I21" s="24">
        <f t="shared" si="0"/>
        <v>46066</v>
      </c>
      <c r="J21" s="26">
        <f t="shared" ca="1" si="1"/>
        <v>-238</v>
      </c>
      <c r="K21" s="26" t="str">
        <f t="shared" ca="1" si="2"/>
        <v/>
      </c>
      <c r="L21" s="27" t="s">
        <v>1567</v>
      </c>
      <c r="M21" s="26" t="str">
        <f ca="1">IF(L21&lt;&gt;"","Entregado",IF(NOT(ISNUMBER(IF(Q21&lt;&gt;"",Q21,I21))),"REVISAR TE",IF(AND(ISNUMBER(Resumen!$B$3),IF(Q21&lt;&gt;"",Q21,I21)&lt;Resumen!$B$3),"REVISAR",IF(IF(Q21&lt;&gt;"",Q21,I21)&lt;TODAY(),"ATRASADO",IF(IF(Q21&lt;&gt;"",Q21,I21)-TODAY()&lt;=2,"POR VENCER","EN TIEMPO")))))</f>
        <v>Entregado</v>
      </c>
      <c r="N21" s="23" t="s">
        <v>94</v>
      </c>
      <c r="P21" s="23" t="s">
        <v>105</v>
      </c>
      <c r="Q21" s="28"/>
    </row>
    <row r="22" spans="1:17" ht="16.5" hidden="1" x14ac:dyDescent="0.3">
      <c r="A22" s="23" t="s">
        <v>102</v>
      </c>
      <c r="B22" s="23" t="s">
        <v>53</v>
      </c>
      <c r="C22" s="23" t="s">
        <v>120</v>
      </c>
      <c r="D22" s="24">
        <v>46031</v>
      </c>
      <c r="E22" s="25">
        <v>4</v>
      </c>
      <c r="F22" s="24">
        <v>46031</v>
      </c>
      <c r="G22" s="23" t="s">
        <v>103</v>
      </c>
      <c r="H22" s="26">
        <v>35</v>
      </c>
      <c r="I22" s="24">
        <f t="shared" si="0"/>
        <v>46066</v>
      </c>
      <c r="J22" s="26">
        <f t="shared" ca="1" si="1"/>
        <v>-238</v>
      </c>
      <c r="K22" s="26" t="str">
        <f t="shared" ca="1" si="2"/>
        <v/>
      </c>
      <c r="L22" s="27" t="s">
        <v>1567</v>
      </c>
      <c r="M22" s="26" t="str">
        <f ca="1">IF(L22&lt;&gt;"","Entregado",IF(NOT(ISNUMBER(IF(Q22&lt;&gt;"",Q22,I22))),"REVISAR TE",IF(AND(ISNUMBER(Resumen!$B$3),IF(Q22&lt;&gt;"",Q22,I22)&lt;Resumen!$B$3),"REVISAR",IF(IF(Q22&lt;&gt;"",Q22,I22)&lt;TODAY(),"ATRASADO",IF(IF(Q22&lt;&gt;"",Q22,I22)-TODAY()&lt;=2,"POR VENCER","EN TIEMPO")))))</f>
        <v>Entregado</v>
      </c>
      <c r="N22" s="23" t="s">
        <v>94</v>
      </c>
      <c r="P22" s="23" t="s">
        <v>105</v>
      </c>
      <c r="Q22" s="28"/>
    </row>
    <row r="23" spans="1:17" ht="16.5" hidden="1" x14ac:dyDescent="0.3">
      <c r="A23" s="23" t="s">
        <v>102</v>
      </c>
      <c r="B23" s="23" t="s">
        <v>53</v>
      </c>
      <c r="C23" s="23" t="s">
        <v>121</v>
      </c>
      <c r="D23" s="24">
        <v>46031</v>
      </c>
      <c r="E23" s="25">
        <v>4</v>
      </c>
      <c r="F23" s="24">
        <v>46031</v>
      </c>
      <c r="G23" s="23" t="s">
        <v>103</v>
      </c>
      <c r="H23" s="26">
        <v>35</v>
      </c>
      <c r="I23" s="24">
        <f t="shared" si="0"/>
        <v>46066</v>
      </c>
      <c r="J23" s="26">
        <f t="shared" ca="1" si="1"/>
        <v>-238</v>
      </c>
      <c r="K23" s="26" t="str">
        <f t="shared" ca="1" si="2"/>
        <v/>
      </c>
      <c r="L23" s="27" t="s">
        <v>1567</v>
      </c>
      <c r="M23" s="26" t="str">
        <f ca="1">IF(L23&lt;&gt;"","Entregado",IF(NOT(ISNUMBER(IF(Q23&lt;&gt;"",Q23,I23))),"REVISAR TE",IF(AND(ISNUMBER(Resumen!$B$3),IF(Q23&lt;&gt;"",Q23,I23)&lt;Resumen!$B$3),"REVISAR",IF(IF(Q23&lt;&gt;"",Q23,I23)&lt;TODAY(),"ATRASADO",IF(IF(Q23&lt;&gt;"",Q23,I23)-TODAY()&lt;=2,"POR VENCER","EN TIEMPO")))))</f>
        <v>Entregado</v>
      </c>
      <c r="N23" s="23" t="s">
        <v>94</v>
      </c>
      <c r="P23" s="23" t="s">
        <v>105</v>
      </c>
      <c r="Q23" s="28"/>
    </row>
    <row r="24" spans="1:17" ht="16.5" hidden="1" x14ac:dyDescent="0.3">
      <c r="A24" s="23" t="s">
        <v>102</v>
      </c>
      <c r="B24" s="23" t="s">
        <v>53</v>
      </c>
      <c r="C24" s="23" t="s">
        <v>122</v>
      </c>
      <c r="D24" s="24">
        <v>46031</v>
      </c>
      <c r="E24" s="25">
        <v>4</v>
      </c>
      <c r="F24" s="24">
        <v>46031</v>
      </c>
      <c r="G24" s="23" t="s">
        <v>103</v>
      </c>
      <c r="H24" s="26">
        <v>35</v>
      </c>
      <c r="I24" s="24">
        <f t="shared" si="0"/>
        <v>46066</v>
      </c>
      <c r="J24" s="26">
        <f t="shared" ca="1" si="1"/>
        <v>-238</v>
      </c>
      <c r="K24" s="26" t="str">
        <f t="shared" ca="1" si="2"/>
        <v/>
      </c>
      <c r="L24" s="27" t="s">
        <v>1567</v>
      </c>
      <c r="M24" s="26" t="str">
        <f ca="1">IF(L24&lt;&gt;"","Entregado",IF(NOT(ISNUMBER(IF(Q24&lt;&gt;"",Q24,I24))),"REVISAR TE",IF(AND(ISNUMBER(Resumen!$B$3),IF(Q24&lt;&gt;"",Q24,I24)&lt;Resumen!$B$3),"REVISAR",IF(IF(Q24&lt;&gt;"",Q24,I24)&lt;TODAY(),"ATRASADO",IF(IF(Q24&lt;&gt;"",Q24,I24)-TODAY()&lt;=2,"POR VENCER","EN TIEMPO")))))</f>
        <v>Entregado</v>
      </c>
      <c r="N24" s="23" t="s">
        <v>94</v>
      </c>
      <c r="P24" s="23" t="s">
        <v>105</v>
      </c>
      <c r="Q24" s="28"/>
    </row>
    <row r="25" spans="1:17" ht="16.5" hidden="1" x14ac:dyDescent="0.3">
      <c r="A25" s="23" t="s">
        <v>102</v>
      </c>
      <c r="B25" s="23" t="s">
        <v>53</v>
      </c>
      <c r="C25" s="23" t="s">
        <v>123</v>
      </c>
      <c r="D25" s="24">
        <v>46031</v>
      </c>
      <c r="E25" s="25">
        <v>4</v>
      </c>
      <c r="F25" s="24">
        <v>46031</v>
      </c>
      <c r="G25" s="23" t="s">
        <v>103</v>
      </c>
      <c r="H25" s="26">
        <v>35</v>
      </c>
      <c r="I25" s="24">
        <f t="shared" si="0"/>
        <v>46066</v>
      </c>
      <c r="J25" s="26">
        <f t="shared" ca="1" si="1"/>
        <v>-238</v>
      </c>
      <c r="K25" s="26" t="str">
        <f t="shared" ca="1" si="2"/>
        <v/>
      </c>
      <c r="L25" s="27" t="s">
        <v>1567</v>
      </c>
      <c r="M25" s="26" t="str">
        <f ca="1">IF(L25&lt;&gt;"","Entregado",IF(NOT(ISNUMBER(IF(Q25&lt;&gt;"",Q25,I25))),"REVISAR TE",IF(AND(ISNUMBER(Resumen!$B$3),IF(Q25&lt;&gt;"",Q25,I25)&lt;Resumen!$B$3),"REVISAR",IF(IF(Q25&lt;&gt;"",Q25,I25)&lt;TODAY(),"ATRASADO",IF(IF(Q25&lt;&gt;"",Q25,I25)-TODAY()&lt;=2,"POR VENCER","EN TIEMPO")))))</f>
        <v>Entregado</v>
      </c>
      <c r="N25" s="23" t="s">
        <v>94</v>
      </c>
      <c r="P25" s="23" t="s">
        <v>105</v>
      </c>
      <c r="Q25" s="28"/>
    </row>
    <row r="26" spans="1:17" ht="16.5" hidden="1" x14ac:dyDescent="0.3">
      <c r="A26" s="23" t="s">
        <v>102</v>
      </c>
      <c r="B26" s="23" t="s">
        <v>53</v>
      </c>
      <c r="C26" s="23" t="s">
        <v>124</v>
      </c>
      <c r="D26" s="24">
        <v>46031</v>
      </c>
      <c r="E26" s="25">
        <v>4</v>
      </c>
      <c r="F26" s="24">
        <v>46031</v>
      </c>
      <c r="G26" s="23" t="s">
        <v>103</v>
      </c>
      <c r="H26" s="26">
        <v>35</v>
      </c>
      <c r="I26" s="24">
        <f t="shared" si="0"/>
        <v>46066</v>
      </c>
      <c r="J26" s="26">
        <f t="shared" ca="1" si="1"/>
        <v>-238</v>
      </c>
      <c r="K26" s="26" t="str">
        <f t="shared" ca="1" si="2"/>
        <v/>
      </c>
      <c r="L26" s="27" t="s">
        <v>1567</v>
      </c>
      <c r="M26" s="26" t="str">
        <f ca="1">IF(L26&lt;&gt;"","Entregado",IF(NOT(ISNUMBER(IF(Q26&lt;&gt;"",Q26,I26))),"REVISAR TE",IF(AND(ISNUMBER(Resumen!$B$3),IF(Q26&lt;&gt;"",Q26,I26)&lt;Resumen!$B$3),"REVISAR",IF(IF(Q26&lt;&gt;"",Q26,I26)&lt;TODAY(),"ATRASADO",IF(IF(Q26&lt;&gt;"",Q26,I26)-TODAY()&lt;=2,"POR VENCER","EN TIEMPO")))))</f>
        <v>Entregado</v>
      </c>
      <c r="N26" s="23" t="s">
        <v>94</v>
      </c>
      <c r="P26" s="23" t="s">
        <v>105</v>
      </c>
      <c r="Q26" s="28"/>
    </row>
    <row r="27" spans="1:17" ht="16.5" hidden="1" x14ac:dyDescent="0.3">
      <c r="A27" s="23" t="s">
        <v>102</v>
      </c>
      <c r="B27" s="23" t="s">
        <v>53</v>
      </c>
      <c r="C27" s="23" t="s">
        <v>125</v>
      </c>
      <c r="D27" s="24">
        <v>46031</v>
      </c>
      <c r="E27" s="25">
        <v>4</v>
      </c>
      <c r="F27" s="24">
        <v>46031</v>
      </c>
      <c r="G27" s="23" t="s">
        <v>103</v>
      </c>
      <c r="H27" s="26">
        <v>35</v>
      </c>
      <c r="I27" s="24">
        <f t="shared" si="0"/>
        <v>46066</v>
      </c>
      <c r="J27" s="26">
        <f t="shared" ca="1" si="1"/>
        <v>-238</v>
      </c>
      <c r="K27" s="26" t="str">
        <f t="shared" ca="1" si="2"/>
        <v/>
      </c>
      <c r="L27" s="27" t="s">
        <v>1567</v>
      </c>
      <c r="M27" s="26" t="str">
        <f ca="1">IF(L27&lt;&gt;"","Entregado",IF(NOT(ISNUMBER(IF(Q27&lt;&gt;"",Q27,I27))),"REVISAR TE",IF(AND(ISNUMBER(Resumen!$B$3),IF(Q27&lt;&gt;"",Q27,I27)&lt;Resumen!$B$3),"REVISAR",IF(IF(Q27&lt;&gt;"",Q27,I27)&lt;TODAY(),"ATRASADO",IF(IF(Q27&lt;&gt;"",Q27,I27)-TODAY()&lt;=2,"POR VENCER","EN TIEMPO")))))</f>
        <v>Entregado</v>
      </c>
      <c r="N27" s="23" t="s">
        <v>94</v>
      </c>
      <c r="P27" s="23" t="s">
        <v>105</v>
      </c>
      <c r="Q27" s="28"/>
    </row>
    <row r="28" spans="1:17" ht="16.5" hidden="1" x14ac:dyDescent="0.3">
      <c r="A28" s="23" t="s">
        <v>102</v>
      </c>
      <c r="B28" s="23" t="s">
        <v>53</v>
      </c>
      <c r="C28" s="23" t="s">
        <v>126</v>
      </c>
      <c r="D28" s="24">
        <v>46031</v>
      </c>
      <c r="E28" s="25">
        <v>4</v>
      </c>
      <c r="F28" s="24">
        <v>46031</v>
      </c>
      <c r="G28" s="23" t="s">
        <v>103</v>
      </c>
      <c r="H28" s="26">
        <v>35</v>
      </c>
      <c r="I28" s="24">
        <f t="shared" si="0"/>
        <v>46066</v>
      </c>
      <c r="J28" s="26">
        <f t="shared" ca="1" si="1"/>
        <v>-238</v>
      </c>
      <c r="K28" s="26" t="str">
        <f t="shared" ca="1" si="2"/>
        <v/>
      </c>
      <c r="L28" s="27" t="s">
        <v>1567</v>
      </c>
      <c r="M28" s="26" t="str">
        <f ca="1">IF(L28&lt;&gt;"","Entregado",IF(NOT(ISNUMBER(IF(Q28&lt;&gt;"",Q28,I28))),"REVISAR TE",IF(AND(ISNUMBER(Resumen!$B$3),IF(Q28&lt;&gt;"",Q28,I28)&lt;Resumen!$B$3),"REVISAR",IF(IF(Q28&lt;&gt;"",Q28,I28)&lt;TODAY(),"ATRASADO",IF(IF(Q28&lt;&gt;"",Q28,I28)-TODAY()&lt;=2,"POR VENCER","EN TIEMPO")))))</f>
        <v>Entregado</v>
      </c>
      <c r="N28" s="23" t="s">
        <v>94</v>
      </c>
      <c r="P28" s="23" t="s">
        <v>105</v>
      </c>
      <c r="Q28" s="28"/>
    </row>
    <row r="29" spans="1:17" ht="16.5" hidden="1" x14ac:dyDescent="0.3">
      <c r="A29" s="23" t="s">
        <v>127</v>
      </c>
      <c r="B29" s="23" t="s">
        <v>52</v>
      </c>
      <c r="C29" s="23" t="s">
        <v>129</v>
      </c>
      <c r="D29" s="24">
        <v>46034</v>
      </c>
      <c r="E29" s="25">
        <v>1</v>
      </c>
      <c r="F29" s="24">
        <v>46034</v>
      </c>
      <c r="G29" s="23" t="s">
        <v>128</v>
      </c>
      <c r="H29" s="26">
        <v>5</v>
      </c>
      <c r="I29" s="24">
        <f t="shared" si="0"/>
        <v>46039</v>
      </c>
      <c r="J29" s="26">
        <f t="shared" ca="1" si="1"/>
        <v>-265</v>
      </c>
      <c r="K29" s="26" t="str">
        <f t="shared" ca="1" si="2"/>
        <v/>
      </c>
      <c r="L29" s="27" t="s">
        <v>1567</v>
      </c>
      <c r="M29" s="26" t="str">
        <f ca="1">IF(L29&lt;&gt;"","Entregado",IF(NOT(ISNUMBER(IF(Q29&lt;&gt;"",Q29,I29))),"REVISAR TE",IF(AND(ISNUMBER(Resumen!$B$3),IF(Q29&lt;&gt;"",Q29,I29)&lt;Resumen!$B$3),"REVISAR",IF(IF(Q29&lt;&gt;"",Q29,I29)&lt;TODAY(),"ATRASADO",IF(IF(Q29&lt;&gt;"",Q29,I29)-TODAY()&lt;=2,"POR VENCER","EN TIEMPO")))))</f>
        <v>Entregado</v>
      </c>
      <c r="N29" s="23" t="s">
        <v>98</v>
      </c>
      <c r="P29" s="23" t="s">
        <v>130</v>
      </c>
      <c r="Q29" s="28"/>
    </row>
    <row r="30" spans="1:17" ht="16.5" hidden="1" x14ac:dyDescent="0.3">
      <c r="A30" s="23" t="s">
        <v>131</v>
      </c>
      <c r="B30" s="23" t="s">
        <v>60</v>
      </c>
      <c r="C30" s="23" t="s">
        <v>133</v>
      </c>
      <c r="D30" s="24">
        <v>46034</v>
      </c>
      <c r="E30" s="25">
        <v>1</v>
      </c>
      <c r="F30" s="24">
        <v>46034</v>
      </c>
      <c r="G30" s="23" t="s">
        <v>132</v>
      </c>
      <c r="H30" s="26">
        <v>42</v>
      </c>
      <c r="I30" s="24">
        <f t="shared" si="0"/>
        <v>46076</v>
      </c>
      <c r="J30" s="26">
        <f t="shared" ca="1" si="1"/>
        <v>-228</v>
      </c>
      <c r="K30" s="26" t="str">
        <f t="shared" ca="1" si="2"/>
        <v/>
      </c>
      <c r="L30" s="27" t="s">
        <v>1567</v>
      </c>
      <c r="M30" s="26" t="str">
        <f ca="1">IF(L30&lt;&gt;"","Entregado",IF(NOT(ISNUMBER(IF(Q30&lt;&gt;"",Q30,I30))),"REVISAR TE",IF(AND(ISNUMBER(Resumen!$B$3),IF(Q30&lt;&gt;"",Q30,I30)&lt;Resumen!$B$3),"REVISAR",IF(IF(Q30&lt;&gt;"",Q30,I30)&lt;TODAY(),"ATRASADO",IF(IF(Q30&lt;&gt;"",Q30,I30)-TODAY()&lt;=2,"POR VENCER","EN TIEMPO")))))</f>
        <v>Entregado</v>
      </c>
      <c r="N30" s="23" t="s">
        <v>84</v>
      </c>
      <c r="P30" s="23" t="s">
        <v>134</v>
      </c>
      <c r="Q30" s="28"/>
    </row>
    <row r="31" spans="1:17" ht="16.5" hidden="1" x14ac:dyDescent="0.3">
      <c r="A31" s="23" t="s">
        <v>131</v>
      </c>
      <c r="B31" s="23" t="s">
        <v>60</v>
      </c>
      <c r="C31" s="23" t="s">
        <v>135</v>
      </c>
      <c r="D31" s="24">
        <v>46034</v>
      </c>
      <c r="E31" s="25">
        <v>1</v>
      </c>
      <c r="F31" s="24">
        <v>46034</v>
      </c>
      <c r="G31" s="23" t="s">
        <v>132</v>
      </c>
      <c r="H31" s="26">
        <v>42</v>
      </c>
      <c r="I31" s="24">
        <f t="shared" si="0"/>
        <v>46076</v>
      </c>
      <c r="J31" s="26">
        <f t="shared" ca="1" si="1"/>
        <v>-228</v>
      </c>
      <c r="K31" s="26" t="str">
        <f t="shared" ca="1" si="2"/>
        <v/>
      </c>
      <c r="L31" s="27" t="s">
        <v>1567</v>
      </c>
      <c r="M31" s="26" t="str">
        <f ca="1">IF(L31&lt;&gt;"","Entregado",IF(NOT(ISNUMBER(IF(Q31&lt;&gt;"",Q31,I31))),"REVISAR TE",IF(AND(ISNUMBER(Resumen!$B$3),IF(Q31&lt;&gt;"",Q31,I31)&lt;Resumen!$B$3),"REVISAR",IF(IF(Q31&lt;&gt;"",Q31,I31)&lt;TODAY(),"ATRASADO",IF(IF(Q31&lt;&gt;"",Q31,I31)-TODAY()&lt;=2,"POR VENCER","EN TIEMPO")))))</f>
        <v>Entregado</v>
      </c>
      <c r="N31" s="23" t="s">
        <v>84</v>
      </c>
      <c r="P31" s="23" t="s">
        <v>134</v>
      </c>
      <c r="Q31" s="28"/>
    </row>
    <row r="32" spans="1:17" ht="16.5" hidden="1" x14ac:dyDescent="0.3">
      <c r="A32" s="23" t="s">
        <v>136</v>
      </c>
      <c r="B32" s="23" t="s">
        <v>60</v>
      </c>
      <c r="C32" s="23" t="s">
        <v>138</v>
      </c>
      <c r="D32" s="24">
        <v>46034</v>
      </c>
      <c r="E32" s="25">
        <v>1</v>
      </c>
      <c r="F32" s="24">
        <v>46034</v>
      </c>
      <c r="G32" s="23" t="s">
        <v>137</v>
      </c>
      <c r="H32" s="26">
        <v>28</v>
      </c>
      <c r="I32" s="24">
        <f t="shared" si="0"/>
        <v>46062</v>
      </c>
      <c r="J32" s="26">
        <f t="shared" ca="1" si="1"/>
        <v>-242</v>
      </c>
      <c r="K32" s="26" t="str">
        <f t="shared" ca="1" si="2"/>
        <v/>
      </c>
      <c r="L32" s="27" t="s">
        <v>1567</v>
      </c>
      <c r="M32" s="26" t="str">
        <f ca="1">IF(L32&lt;&gt;"","Entregado",IF(NOT(ISNUMBER(IF(Q32&lt;&gt;"",Q32,I32))),"REVISAR TE",IF(AND(ISNUMBER(Resumen!$B$3),IF(Q32&lt;&gt;"",Q32,I32)&lt;Resumen!$B$3),"REVISAR",IF(IF(Q32&lt;&gt;"",Q32,I32)&lt;TODAY(),"ATRASADO",IF(IF(Q32&lt;&gt;"",Q32,I32)-TODAY()&lt;=2,"POR VENCER","EN TIEMPO")))))</f>
        <v>Entregado</v>
      </c>
      <c r="N32" s="23" t="s">
        <v>84</v>
      </c>
      <c r="P32" s="23" t="s">
        <v>139</v>
      </c>
      <c r="Q32" s="28"/>
    </row>
    <row r="33" spans="1:17" ht="16.5" hidden="1" x14ac:dyDescent="0.3">
      <c r="A33" s="23" t="s">
        <v>136</v>
      </c>
      <c r="B33" s="23" t="s">
        <v>60</v>
      </c>
      <c r="C33" s="23" t="s">
        <v>140</v>
      </c>
      <c r="D33" s="24">
        <v>46034</v>
      </c>
      <c r="E33" s="25">
        <v>1</v>
      </c>
      <c r="F33" s="24">
        <v>46034</v>
      </c>
      <c r="G33" s="23" t="s">
        <v>137</v>
      </c>
      <c r="H33" s="26">
        <v>28</v>
      </c>
      <c r="I33" s="24">
        <f t="shared" si="0"/>
        <v>46062</v>
      </c>
      <c r="J33" s="26">
        <f t="shared" ca="1" si="1"/>
        <v>-242</v>
      </c>
      <c r="K33" s="26" t="str">
        <f t="shared" ca="1" si="2"/>
        <v/>
      </c>
      <c r="L33" s="27" t="s">
        <v>1567</v>
      </c>
      <c r="M33" s="26" t="str">
        <f ca="1">IF(L33&lt;&gt;"","Entregado",IF(NOT(ISNUMBER(IF(Q33&lt;&gt;"",Q33,I33))),"REVISAR TE",IF(AND(ISNUMBER(Resumen!$B$3),IF(Q33&lt;&gt;"",Q33,I33)&lt;Resumen!$B$3),"REVISAR",IF(IF(Q33&lt;&gt;"",Q33,I33)&lt;TODAY(),"ATRASADO",IF(IF(Q33&lt;&gt;"",Q33,I33)-TODAY()&lt;=2,"POR VENCER","EN TIEMPO")))))</f>
        <v>Entregado</v>
      </c>
      <c r="N33" s="23" t="s">
        <v>84</v>
      </c>
      <c r="P33" s="23" t="s">
        <v>139</v>
      </c>
      <c r="Q33" s="28"/>
    </row>
    <row r="34" spans="1:17" ht="16.5" hidden="1" x14ac:dyDescent="0.3">
      <c r="A34" s="23" t="s">
        <v>141</v>
      </c>
      <c r="B34" s="23" t="s">
        <v>55</v>
      </c>
      <c r="C34" s="23" t="s">
        <v>142</v>
      </c>
      <c r="D34" s="24">
        <v>46035</v>
      </c>
      <c r="E34" s="25">
        <v>100</v>
      </c>
      <c r="F34" s="24">
        <v>46035</v>
      </c>
      <c r="G34" s="23" t="s">
        <v>137</v>
      </c>
      <c r="H34" s="26">
        <v>28</v>
      </c>
      <c r="I34" s="24">
        <f t="shared" si="0"/>
        <v>46063</v>
      </c>
      <c r="J34" s="26">
        <f t="shared" ca="1" si="1"/>
        <v>-241</v>
      </c>
      <c r="K34" s="26" t="str">
        <f t="shared" ca="1" si="2"/>
        <v/>
      </c>
      <c r="L34" s="27" t="s">
        <v>1567</v>
      </c>
      <c r="M34" s="26" t="str">
        <f ca="1">IF(L34&lt;&gt;"","Entregado",IF(NOT(ISNUMBER(IF(Q34&lt;&gt;"",Q34,I34))),"REVISAR TE",IF(AND(ISNUMBER(Resumen!$B$3),IF(Q34&lt;&gt;"",Q34,I34)&lt;Resumen!$B$3),"REVISAR",IF(IF(Q34&lt;&gt;"",Q34,I34)&lt;TODAY(),"ATRASADO",IF(IF(Q34&lt;&gt;"",Q34,I34)-TODAY()&lt;=2,"POR VENCER","EN TIEMPO")))))</f>
        <v>Entregado</v>
      </c>
      <c r="N34" s="23" t="s">
        <v>98</v>
      </c>
      <c r="P34" s="23" t="s">
        <v>143</v>
      </c>
      <c r="Q34" s="28"/>
    </row>
    <row r="35" spans="1:17" ht="16.5" hidden="1" x14ac:dyDescent="0.3">
      <c r="A35" s="23" t="s">
        <v>144</v>
      </c>
      <c r="B35" s="23" t="s">
        <v>54</v>
      </c>
      <c r="C35" s="23" t="s">
        <v>147</v>
      </c>
      <c r="D35" s="24">
        <v>46036</v>
      </c>
      <c r="E35" s="25">
        <v>1</v>
      </c>
      <c r="F35" s="24">
        <v>46036</v>
      </c>
      <c r="G35" s="23" t="s">
        <v>145</v>
      </c>
      <c r="H35" s="26">
        <v>5</v>
      </c>
      <c r="I35" s="24">
        <f t="shared" si="0"/>
        <v>46041</v>
      </c>
      <c r="J35" s="26">
        <f t="shared" ca="1" si="1"/>
        <v>-263</v>
      </c>
      <c r="K35" s="26" t="str">
        <f t="shared" ca="1" si="2"/>
        <v/>
      </c>
      <c r="L35" s="27" t="s">
        <v>1567</v>
      </c>
      <c r="M35" s="26" t="str">
        <f ca="1">IF(L35&lt;&gt;"","Entregado",IF(NOT(ISNUMBER(IF(Q35&lt;&gt;"",Q35,I35))),"REVISAR TE",IF(AND(ISNUMBER(Resumen!$B$3),IF(Q35&lt;&gt;"",Q35,I35)&lt;Resumen!$B$3),"REVISAR",IF(IF(Q35&lt;&gt;"",Q35,I35)&lt;TODAY(),"ATRASADO",IF(IF(Q35&lt;&gt;"",Q35,I35)-TODAY()&lt;=2,"POR VENCER","EN TIEMPO")))))</f>
        <v>Entregado</v>
      </c>
      <c r="N35" s="23" t="s">
        <v>146</v>
      </c>
      <c r="P35" s="23" t="s">
        <v>148</v>
      </c>
      <c r="Q35" s="28"/>
    </row>
    <row r="36" spans="1:17" ht="16.5" hidden="1" x14ac:dyDescent="0.3">
      <c r="A36" s="23" t="s">
        <v>144</v>
      </c>
      <c r="B36" s="23" t="s">
        <v>54</v>
      </c>
      <c r="C36" s="23" t="s">
        <v>149</v>
      </c>
      <c r="D36" s="24">
        <v>46036</v>
      </c>
      <c r="E36" s="25">
        <v>1</v>
      </c>
      <c r="F36" s="24">
        <v>46036</v>
      </c>
      <c r="G36" s="23" t="s">
        <v>145</v>
      </c>
      <c r="H36" s="26">
        <v>5</v>
      </c>
      <c r="I36" s="24">
        <f t="shared" si="0"/>
        <v>46041</v>
      </c>
      <c r="J36" s="26">
        <f t="shared" ca="1" si="1"/>
        <v>-263</v>
      </c>
      <c r="K36" s="26" t="str">
        <f t="shared" ca="1" si="2"/>
        <v/>
      </c>
      <c r="L36" s="27" t="s">
        <v>1567</v>
      </c>
      <c r="M36" s="26" t="str">
        <f ca="1">IF(L36&lt;&gt;"","Entregado",IF(NOT(ISNUMBER(IF(Q36&lt;&gt;"",Q36,I36))),"REVISAR TE",IF(AND(ISNUMBER(Resumen!$B$3),IF(Q36&lt;&gt;"",Q36,I36)&lt;Resumen!$B$3),"REVISAR",IF(IF(Q36&lt;&gt;"",Q36,I36)&lt;TODAY(),"ATRASADO",IF(IF(Q36&lt;&gt;"",Q36,I36)-TODAY()&lt;=2,"POR VENCER","EN TIEMPO")))))</f>
        <v>Entregado</v>
      </c>
      <c r="N36" s="23" t="s">
        <v>146</v>
      </c>
      <c r="P36" s="23" t="s">
        <v>148</v>
      </c>
      <c r="Q36" s="28"/>
    </row>
    <row r="37" spans="1:17" ht="16.5" hidden="1" x14ac:dyDescent="0.3">
      <c r="A37" s="23" t="s">
        <v>144</v>
      </c>
      <c r="B37" s="23" t="s">
        <v>54</v>
      </c>
      <c r="C37" s="23" t="s">
        <v>150</v>
      </c>
      <c r="D37" s="24">
        <v>46036</v>
      </c>
      <c r="E37" s="25">
        <v>1</v>
      </c>
      <c r="F37" s="24">
        <v>46036</v>
      </c>
      <c r="G37" s="23" t="s">
        <v>145</v>
      </c>
      <c r="H37" s="26">
        <v>5</v>
      </c>
      <c r="I37" s="24">
        <f t="shared" si="0"/>
        <v>46041</v>
      </c>
      <c r="J37" s="26">
        <f t="shared" ca="1" si="1"/>
        <v>-263</v>
      </c>
      <c r="K37" s="26" t="str">
        <f t="shared" ca="1" si="2"/>
        <v/>
      </c>
      <c r="L37" s="27" t="s">
        <v>1567</v>
      </c>
      <c r="M37" s="26" t="str">
        <f ca="1">IF(L37&lt;&gt;"","Entregado",IF(NOT(ISNUMBER(IF(Q37&lt;&gt;"",Q37,I37))),"REVISAR TE",IF(AND(ISNUMBER(Resumen!$B$3),IF(Q37&lt;&gt;"",Q37,I37)&lt;Resumen!$B$3),"REVISAR",IF(IF(Q37&lt;&gt;"",Q37,I37)&lt;TODAY(),"ATRASADO",IF(IF(Q37&lt;&gt;"",Q37,I37)-TODAY()&lt;=2,"POR VENCER","EN TIEMPO")))))</f>
        <v>Entregado</v>
      </c>
      <c r="N37" s="23" t="s">
        <v>146</v>
      </c>
      <c r="P37" s="23" t="s">
        <v>148</v>
      </c>
      <c r="Q37" s="28"/>
    </row>
    <row r="38" spans="1:17" ht="16.5" hidden="1" x14ac:dyDescent="0.3">
      <c r="A38" s="23" t="s">
        <v>144</v>
      </c>
      <c r="B38" s="23" t="s">
        <v>54</v>
      </c>
      <c r="C38" s="23" t="s">
        <v>151</v>
      </c>
      <c r="D38" s="24">
        <v>46036</v>
      </c>
      <c r="E38" s="25">
        <v>1</v>
      </c>
      <c r="F38" s="24">
        <v>46036</v>
      </c>
      <c r="G38" s="23" t="s">
        <v>145</v>
      </c>
      <c r="H38" s="26">
        <v>5</v>
      </c>
      <c r="I38" s="24">
        <f t="shared" si="0"/>
        <v>46041</v>
      </c>
      <c r="J38" s="26">
        <f t="shared" ca="1" si="1"/>
        <v>-263</v>
      </c>
      <c r="K38" s="26" t="str">
        <f t="shared" ca="1" si="2"/>
        <v/>
      </c>
      <c r="L38" s="27" t="s">
        <v>1567</v>
      </c>
      <c r="M38" s="26" t="str">
        <f ca="1">IF(L38&lt;&gt;"","Entregado",IF(NOT(ISNUMBER(IF(Q38&lt;&gt;"",Q38,I38))),"REVISAR TE",IF(AND(ISNUMBER(Resumen!$B$3),IF(Q38&lt;&gt;"",Q38,I38)&lt;Resumen!$B$3),"REVISAR",IF(IF(Q38&lt;&gt;"",Q38,I38)&lt;TODAY(),"ATRASADO",IF(IF(Q38&lt;&gt;"",Q38,I38)-TODAY()&lt;=2,"POR VENCER","EN TIEMPO")))))</f>
        <v>Entregado</v>
      </c>
      <c r="N38" s="23" t="s">
        <v>146</v>
      </c>
      <c r="P38" s="23" t="s">
        <v>148</v>
      </c>
      <c r="Q38" s="28"/>
    </row>
    <row r="39" spans="1:17" ht="16.5" hidden="1" x14ac:dyDescent="0.3">
      <c r="A39" s="23" t="s">
        <v>152</v>
      </c>
      <c r="B39" s="23" t="s">
        <v>54</v>
      </c>
      <c r="C39" s="23" t="s">
        <v>153</v>
      </c>
      <c r="D39" s="24">
        <v>46036</v>
      </c>
      <c r="E39" s="25">
        <v>1</v>
      </c>
      <c r="F39" s="24">
        <v>46036</v>
      </c>
      <c r="G39" s="23" t="s">
        <v>103</v>
      </c>
      <c r="H39" s="26">
        <v>35</v>
      </c>
      <c r="I39" s="24">
        <f t="shared" si="0"/>
        <v>46071</v>
      </c>
      <c r="J39" s="26">
        <f t="shared" ca="1" si="1"/>
        <v>-233</v>
      </c>
      <c r="K39" s="26" t="str">
        <f t="shared" ca="1" si="2"/>
        <v/>
      </c>
      <c r="L39" s="27" t="s">
        <v>1567</v>
      </c>
      <c r="M39" s="26" t="str">
        <f ca="1">IF(L39&lt;&gt;"","Entregado",IF(NOT(ISNUMBER(IF(Q39&lt;&gt;"",Q39,I39))),"REVISAR TE",IF(AND(ISNUMBER(Resumen!$B$3),IF(Q39&lt;&gt;"",Q39,I39)&lt;Resumen!$B$3),"REVISAR",IF(IF(Q39&lt;&gt;"",Q39,I39)&lt;TODAY(),"ATRASADO",IF(IF(Q39&lt;&gt;"",Q39,I39)-TODAY()&lt;=2,"POR VENCER","EN TIEMPO")))))</f>
        <v>Entregado</v>
      </c>
      <c r="N39" s="23" t="s">
        <v>84</v>
      </c>
      <c r="P39" s="23" t="s">
        <v>154</v>
      </c>
      <c r="Q39" s="28"/>
    </row>
    <row r="40" spans="1:17" ht="16.5" hidden="1" x14ac:dyDescent="0.3">
      <c r="A40" s="23" t="s">
        <v>155</v>
      </c>
      <c r="B40" s="23" t="s">
        <v>53</v>
      </c>
      <c r="C40" s="23" t="s">
        <v>157</v>
      </c>
      <c r="D40" s="24">
        <v>46038</v>
      </c>
      <c r="E40" s="25">
        <v>16</v>
      </c>
      <c r="F40" s="24">
        <v>46038</v>
      </c>
      <c r="G40" s="23" t="s">
        <v>156</v>
      </c>
      <c r="H40" s="26">
        <v>21</v>
      </c>
      <c r="I40" s="24">
        <f t="shared" si="0"/>
        <v>46059</v>
      </c>
      <c r="J40" s="26">
        <f t="shared" ca="1" si="1"/>
        <v>-245</v>
      </c>
      <c r="K40" s="26" t="str">
        <f t="shared" ca="1" si="2"/>
        <v/>
      </c>
      <c r="L40" s="27" t="s">
        <v>1567</v>
      </c>
      <c r="M40" s="26" t="str">
        <f ca="1">IF(L40&lt;&gt;"","Entregado",IF(NOT(ISNUMBER(IF(Q40&lt;&gt;"",Q40,I40))),"REVISAR TE",IF(AND(ISNUMBER(Resumen!$B$3),IF(Q40&lt;&gt;"",Q40,I40)&lt;Resumen!$B$3),"REVISAR",IF(IF(Q40&lt;&gt;"",Q40,I40)&lt;TODAY(),"ATRASADO",IF(IF(Q40&lt;&gt;"",Q40,I40)-TODAY()&lt;=2,"POR VENCER","EN TIEMPO")))))</f>
        <v>Entregado</v>
      </c>
      <c r="N40" s="23" t="s">
        <v>94</v>
      </c>
      <c r="P40" s="23" t="s">
        <v>158</v>
      </c>
      <c r="Q40" s="28"/>
    </row>
    <row r="41" spans="1:17" ht="16.5" hidden="1" x14ac:dyDescent="0.3">
      <c r="A41" s="23" t="s">
        <v>155</v>
      </c>
      <c r="B41" s="23" t="s">
        <v>53</v>
      </c>
      <c r="C41" s="23" t="s">
        <v>159</v>
      </c>
      <c r="D41" s="24">
        <v>46038</v>
      </c>
      <c r="E41" s="25">
        <v>16</v>
      </c>
      <c r="F41" s="24">
        <v>46038</v>
      </c>
      <c r="G41" s="23" t="s">
        <v>156</v>
      </c>
      <c r="H41" s="26">
        <v>21</v>
      </c>
      <c r="I41" s="24">
        <f t="shared" si="0"/>
        <v>46059</v>
      </c>
      <c r="J41" s="26">
        <f t="shared" ca="1" si="1"/>
        <v>-245</v>
      </c>
      <c r="K41" s="26" t="str">
        <f t="shared" ca="1" si="2"/>
        <v/>
      </c>
      <c r="L41" s="27" t="s">
        <v>1567</v>
      </c>
      <c r="M41" s="26" t="str">
        <f ca="1">IF(L41&lt;&gt;"","Entregado",IF(NOT(ISNUMBER(IF(Q41&lt;&gt;"",Q41,I41))),"REVISAR TE",IF(AND(ISNUMBER(Resumen!$B$3),IF(Q41&lt;&gt;"",Q41,I41)&lt;Resumen!$B$3),"REVISAR",IF(IF(Q41&lt;&gt;"",Q41,I41)&lt;TODAY(),"ATRASADO",IF(IF(Q41&lt;&gt;"",Q41,I41)-TODAY()&lt;=2,"POR VENCER","EN TIEMPO")))))</f>
        <v>Entregado</v>
      </c>
      <c r="N41" s="23" t="s">
        <v>94</v>
      </c>
      <c r="P41" s="23" t="s">
        <v>158</v>
      </c>
      <c r="Q41" s="28"/>
    </row>
    <row r="42" spans="1:17" ht="16.5" hidden="1" x14ac:dyDescent="0.3">
      <c r="A42" s="23" t="s">
        <v>155</v>
      </c>
      <c r="B42" s="23" t="s">
        <v>53</v>
      </c>
      <c r="C42" s="23" t="s">
        <v>160</v>
      </c>
      <c r="D42" s="24">
        <v>46038</v>
      </c>
      <c r="E42" s="25">
        <v>16</v>
      </c>
      <c r="F42" s="24">
        <v>46038</v>
      </c>
      <c r="G42" s="23" t="s">
        <v>156</v>
      </c>
      <c r="H42" s="26">
        <v>21</v>
      </c>
      <c r="I42" s="24">
        <f t="shared" si="0"/>
        <v>46059</v>
      </c>
      <c r="J42" s="26">
        <f t="shared" ca="1" si="1"/>
        <v>-245</v>
      </c>
      <c r="K42" s="26" t="str">
        <f t="shared" ca="1" si="2"/>
        <v/>
      </c>
      <c r="L42" s="27" t="s">
        <v>1567</v>
      </c>
      <c r="M42" s="26" t="str">
        <f ca="1">IF(L42&lt;&gt;"","Entregado",IF(NOT(ISNUMBER(IF(Q42&lt;&gt;"",Q42,I42))),"REVISAR TE",IF(AND(ISNUMBER(Resumen!$B$3),IF(Q42&lt;&gt;"",Q42,I42)&lt;Resumen!$B$3),"REVISAR",IF(IF(Q42&lt;&gt;"",Q42,I42)&lt;TODAY(),"ATRASADO",IF(IF(Q42&lt;&gt;"",Q42,I42)-TODAY()&lt;=2,"POR VENCER","EN TIEMPO")))))</f>
        <v>Entregado</v>
      </c>
      <c r="N42" s="23" t="s">
        <v>94</v>
      </c>
      <c r="P42" s="23" t="s">
        <v>158</v>
      </c>
      <c r="Q42" s="28"/>
    </row>
    <row r="43" spans="1:17" ht="16.5" hidden="1" x14ac:dyDescent="0.3">
      <c r="A43" s="23" t="s">
        <v>161</v>
      </c>
      <c r="B43" s="23"/>
      <c r="C43" s="23" t="s">
        <v>162</v>
      </c>
      <c r="D43" s="24">
        <v>46038</v>
      </c>
      <c r="E43" s="25">
        <v>71</v>
      </c>
      <c r="F43" s="24">
        <v>46038</v>
      </c>
      <c r="G43" s="23" t="s">
        <v>83</v>
      </c>
      <c r="H43" s="26">
        <v>21</v>
      </c>
      <c r="I43" s="24">
        <f t="shared" si="0"/>
        <v>46059</v>
      </c>
      <c r="J43" s="26">
        <f t="shared" ca="1" si="1"/>
        <v>-245</v>
      </c>
      <c r="K43" s="26" t="str">
        <f t="shared" ca="1" si="2"/>
        <v/>
      </c>
      <c r="L43" s="27" t="s">
        <v>1567</v>
      </c>
      <c r="M43" s="26" t="str">
        <f ca="1">IF(L43&lt;&gt;"","Entregado",IF(NOT(ISNUMBER(IF(Q43&lt;&gt;"",Q43,I43))),"REVISAR TE",IF(AND(ISNUMBER(Resumen!$B$3),IF(Q43&lt;&gt;"",Q43,I43)&lt;Resumen!$B$3),"REVISAR",IF(IF(Q43&lt;&gt;"",Q43,I43)&lt;TODAY(),"ATRASADO",IF(IF(Q43&lt;&gt;"",Q43,I43)-TODAY()&lt;=2,"POR VENCER","EN TIEMPO")))))</f>
        <v>Entregado</v>
      </c>
      <c r="N43" s="23" t="s">
        <v>98</v>
      </c>
      <c r="P43" s="23" t="s">
        <v>163</v>
      </c>
      <c r="Q43" s="28"/>
    </row>
    <row r="44" spans="1:17" ht="16.5" hidden="1" x14ac:dyDescent="0.3">
      <c r="A44" s="23" t="s">
        <v>164</v>
      </c>
      <c r="B44" s="23" t="s">
        <v>56</v>
      </c>
      <c r="C44" s="23" t="s">
        <v>166</v>
      </c>
      <c r="D44" s="24">
        <v>46038</v>
      </c>
      <c r="E44" s="25">
        <v>1</v>
      </c>
      <c r="F44" s="24">
        <v>46038</v>
      </c>
      <c r="G44" s="23" t="s">
        <v>83</v>
      </c>
      <c r="H44" s="26">
        <v>21</v>
      </c>
      <c r="I44" s="24">
        <f t="shared" si="0"/>
        <v>46059</v>
      </c>
      <c r="J44" s="26">
        <f t="shared" ca="1" si="1"/>
        <v>-245</v>
      </c>
      <c r="K44" s="26" t="str">
        <f t="shared" ca="1" si="2"/>
        <v/>
      </c>
      <c r="L44" s="27" t="s">
        <v>1567</v>
      </c>
      <c r="M44" s="26" t="str">
        <f ca="1">IF(L44&lt;&gt;"","Entregado",IF(NOT(ISNUMBER(IF(Q44&lt;&gt;"",Q44,I44))),"REVISAR TE",IF(AND(ISNUMBER(Resumen!$B$3),IF(Q44&lt;&gt;"",Q44,I44)&lt;Resumen!$B$3),"REVISAR",IF(IF(Q44&lt;&gt;"",Q44,I44)&lt;TODAY(),"ATRASADO",IF(IF(Q44&lt;&gt;"",Q44,I44)-TODAY()&lt;=2,"POR VENCER","EN TIEMPO")))))</f>
        <v>Entregado</v>
      </c>
      <c r="N44" s="23" t="s">
        <v>165</v>
      </c>
      <c r="P44" s="23" t="s">
        <v>167</v>
      </c>
      <c r="Q44" s="28"/>
    </row>
    <row r="45" spans="1:17" ht="16.5" hidden="1" x14ac:dyDescent="0.3">
      <c r="A45" s="23" t="s">
        <v>164</v>
      </c>
      <c r="B45" s="23" t="s">
        <v>56</v>
      </c>
      <c r="C45" s="23" t="s">
        <v>168</v>
      </c>
      <c r="D45" s="24">
        <v>46038</v>
      </c>
      <c r="E45" s="25">
        <v>1</v>
      </c>
      <c r="F45" s="24">
        <v>46038</v>
      </c>
      <c r="G45" s="23" t="s">
        <v>83</v>
      </c>
      <c r="H45" s="26">
        <v>21</v>
      </c>
      <c r="I45" s="24">
        <f t="shared" si="0"/>
        <v>46059</v>
      </c>
      <c r="J45" s="26">
        <f t="shared" ca="1" si="1"/>
        <v>-245</v>
      </c>
      <c r="K45" s="26" t="str">
        <f t="shared" ca="1" si="2"/>
        <v/>
      </c>
      <c r="L45" s="27" t="s">
        <v>1567</v>
      </c>
      <c r="M45" s="26" t="str">
        <f ca="1">IF(L45&lt;&gt;"","Entregado",IF(NOT(ISNUMBER(IF(Q45&lt;&gt;"",Q45,I45))),"REVISAR TE",IF(AND(ISNUMBER(Resumen!$B$3),IF(Q45&lt;&gt;"",Q45,I45)&lt;Resumen!$B$3),"REVISAR",IF(IF(Q45&lt;&gt;"",Q45,I45)&lt;TODAY(),"ATRASADO",IF(IF(Q45&lt;&gt;"",Q45,I45)-TODAY()&lt;=2,"POR VENCER","EN TIEMPO")))))</f>
        <v>Entregado</v>
      </c>
      <c r="N45" s="23" t="s">
        <v>165</v>
      </c>
      <c r="P45" s="23" t="s">
        <v>167</v>
      </c>
      <c r="Q45" s="28"/>
    </row>
    <row r="46" spans="1:17" ht="16.5" hidden="1" x14ac:dyDescent="0.3">
      <c r="A46" s="23" t="s">
        <v>164</v>
      </c>
      <c r="B46" s="23" t="s">
        <v>56</v>
      </c>
      <c r="C46" s="23" t="s">
        <v>169</v>
      </c>
      <c r="D46" s="24">
        <v>46038</v>
      </c>
      <c r="E46" s="25">
        <v>1</v>
      </c>
      <c r="F46" s="24">
        <v>46038</v>
      </c>
      <c r="G46" s="23" t="s">
        <v>83</v>
      </c>
      <c r="H46" s="26">
        <v>21</v>
      </c>
      <c r="I46" s="24">
        <f t="shared" si="0"/>
        <v>46059</v>
      </c>
      <c r="J46" s="26">
        <f t="shared" ca="1" si="1"/>
        <v>-245</v>
      </c>
      <c r="K46" s="26" t="str">
        <f t="shared" ca="1" si="2"/>
        <v/>
      </c>
      <c r="L46" s="27" t="s">
        <v>1567</v>
      </c>
      <c r="M46" s="26" t="str">
        <f ca="1">IF(L46&lt;&gt;"","Entregado",IF(NOT(ISNUMBER(IF(Q46&lt;&gt;"",Q46,I46))),"REVISAR TE",IF(AND(ISNUMBER(Resumen!$B$3),IF(Q46&lt;&gt;"",Q46,I46)&lt;Resumen!$B$3),"REVISAR",IF(IF(Q46&lt;&gt;"",Q46,I46)&lt;TODAY(),"ATRASADO",IF(IF(Q46&lt;&gt;"",Q46,I46)-TODAY()&lt;=2,"POR VENCER","EN TIEMPO")))))</f>
        <v>Entregado</v>
      </c>
      <c r="N46" s="23" t="s">
        <v>165</v>
      </c>
      <c r="P46" s="23" t="s">
        <v>167</v>
      </c>
      <c r="Q46" s="28"/>
    </row>
    <row r="47" spans="1:17" ht="16.5" hidden="1" x14ac:dyDescent="0.3">
      <c r="A47" s="23" t="s">
        <v>170</v>
      </c>
      <c r="B47" s="23" t="s">
        <v>52</v>
      </c>
      <c r="C47" s="23" t="s">
        <v>172</v>
      </c>
      <c r="D47" s="24">
        <v>46042</v>
      </c>
      <c r="E47" s="25">
        <v>1</v>
      </c>
      <c r="F47" s="24">
        <v>46042</v>
      </c>
      <c r="G47" s="23" t="s">
        <v>171</v>
      </c>
      <c r="H47" s="26">
        <v>7</v>
      </c>
      <c r="I47" s="24">
        <f t="shared" si="0"/>
        <v>46049</v>
      </c>
      <c r="J47" s="26">
        <f t="shared" ca="1" si="1"/>
        <v>-255</v>
      </c>
      <c r="K47" s="26" t="str">
        <f t="shared" ca="1" si="2"/>
        <v/>
      </c>
      <c r="L47" s="27" t="s">
        <v>1567</v>
      </c>
      <c r="M47" s="26" t="str">
        <f ca="1">IF(L47&lt;&gt;"","Entregado",IF(NOT(ISNUMBER(IF(Q47&lt;&gt;"",Q47,I47))),"REVISAR TE",IF(AND(ISNUMBER(Resumen!$B$3),IF(Q47&lt;&gt;"",Q47,I47)&lt;Resumen!$B$3),"REVISAR",IF(IF(Q47&lt;&gt;"",Q47,I47)&lt;TODAY(),"ATRASADO",IF(IF(Q47&lt;&gt;"",Q47,I47)-TODAY()&lt;=2,"POR VENCER","EN TIEMPO")))))</f>
        <v>Entregado</v>
      </c>
      <c r="N47" s="23" t="s">
        <v>94</v>
      </c>
      <c r="P47" s="23" t="s">
        <v>173</v>
      </c>
      <c r="Q47" s="28"/>
    </row>
    <row r="48" spans="1:17" ht="16.5" hidden="1" x14ac:dyDescent="0.3">
      <c r="A48" s="23" t="s">
        <v>170</v>
      </c>
      <c r="B48" s="23" t="s">
        <v>52</v>
      </c>
      <c r="C48" s="23" t="s">
        <v>175</v>
      </c>
      <c r="D48" s="24">
        <v>46042</v>
      </c>
      <c r="E48" s="25">
        <v>1</v>
      </c>
      <c r="F48" s="24">
        <v>46042</v>
      </c>
      <c r="G48" s="23" t="s">
        <v>171</v>
      </c>
      <c r="H48" s="26">
        <v>7</v>
      </c>
      <c r="I48" s="24">
        <f t="shared" si="0"/>
        <v>46049</v>
      </c>
      <c r="J48" s="26">
        <f t="shared" ca="1" si="1"/>
        <v>-255</v>
      </c>
      <c r="K48" s="26" t="str">
        <f t="shared" ca="1" si="2"/>
        <v/>
      </c>
      <c r="L48" s="27" t="s">
        <v>1567</v>
      </c>
      <c r="M48" s="26" t="str">
        <f ca="1">IF(L48&lt;&gt;"","Entregado",IF(NOT(ISNUMBER(IF(Q48&lt;&gt;"",Q48,I48))),"REVISAR TE",IF(AND(ISNUMBER(Resumen!$B$3),IF(Q48&lt;&gt;"",Q48,I48)&lt;Resumen!$B$3),"REVISAR",IF(IF(Q48&lt;&gt;"",Q48,I48)&lt;TODAY(),"ATRASADO",IF(IF(Q48&lt;&gt;"",Q48,I48)-TODAY()&lt;=2,"POR VENCER","EN TIEMPO")))))</f>
        <v>Entregado</v>
      </c>
      <c r="N48" s="23" t="s">
        <v>174</v>
      </c>
      <c r="P48" s="23" t="s">
        <v>173</v>
      </c>
      <c r="Q48" s="28"/>
    </row>
    <row r="49" spans="1:17" ht="16.5" hidden="1" x14ac:dyDescent="0.3">
      <c r="A49" s="23" t="s">
        <v>176</v>
      </c>
      <c r="B49" s="23" t="s">
        <v>54</v>
      </c>
      <c r="C49" s="23" t="s">
        <v>177</v>
      </c>
      <c r="D49" s="24">
        <v>46043</v>
      </c>
      <c r="E49" s="25">
        <v>3</v>
      </c>
      <c r="F49" s="24">
        <v>46043</v>
      </c>
      <c r="G49" s="23" t="s">
        <v>83</v>
      </c>
      <c r="H49" s="26">
        <v>21</v>
      </c>
      <c r="I49" s="24">
        <f t="shared" si="0"/>
        <v>46064</v>
      </c>
      <c r="J49" s="26">
        <f t="shared" ca="1" si="1"/>
        <v>-240</v>
      </c>
      <c r="K49" s="26" t="str">
        <f t="shared" ca="1" si="2"/>
        <v/>
      </c>
      <c r="L49" s="27" t="s">
        <v>1567</v>
      </c>
      <c r="M49" s="26" t="str">
        <f ca="1">IF(L49&lt;&gt;"","Entregado",IF(NOT(ISNUMBER(IF(Q49&lt;&gt;"",Q49,I49))),"REVISAR TE",IF(AND(ISNUMBER(Resumen!$B$3),IF(Q49&lt;&gt;"",Q49,I49)&lt;Resumen!$B$3),"REVISAR",IF(IF(Q49&lt;&gt;"",Q49,I49)&lt;TODAY(),"ATRASADO",IF(IF(Q49&lt;&gt;"",Q49,I49)-TODAY()&lt;=2,"POR VENCER","EN TIEMPO")))))</f>
        <v>Entregado</v>
      </c>
      <c r="N49" s="23" t="s">
        <v>98</v>
      </c>
      <c r="P49" s="23" t="s">
        <v>178</v>
      </c>
      <c r="Q49" s="28"/>
    </row>
    <row r="50" spans="1:17" ht="16.5" hidden="1" x14ac:dyDescent="0.3">
      <c r="A50" s="23" t="s">
        <v>179</v>
      </c>
      <c r="B50" s="23" t="s">
        <v>54</v>
      </c>
      <c r="C50" s="23" t="s">
        <v>181</v>
      </c>
      <c r="D50" s="24">
        <v>46043</v>
      </c>
      <c r="E50" s="25">
        <v>4</v>
      </c>
      <c r="F50" s="24">
        <v>46043</v>
      </c>
      <c r="G50" s="23" t="s">
        <v>180</v>
      </c>
      <c r="H50" s="26">
        <v>14</v>
      </c>
      <c r="I50" s="24">
        <f t="shared" si="0"/>
        <v>46057</v>
      </c>
      <c r="J50" s="26">
        <f t="shared" ca="1" si="1"/>
        <v>-247</v>
      </c>
      <c r="K50" s="26" t="str">
        <f t="shared" ca="1" si="2"/>
        <v/>
      </c>
      <c r="L50" s="27" t="s">
        <v>1567</v>
      </c>
      <c r="M50" s="26" t="str">
        <f ca="1">IF(L50&lt;&gt;"","Entregado",IF(NOT(ISNUMBER(IF(Q50&lt;&gt;"",Q50,I50))),"REVISAR TE",IF(AND(ISNUMBER(Resumen!$B$3),IF(Q50&lt;&gt;"",Q50,I50)&lt;Resumen!$B$3),"REVISAR",IF(IF(Q50&lt;&gt;"",Q50,I50)&lt;TODAY(),"ATRASADO",IF(IF(Q50&lt;&gt;"",Q50,I50)-TODAY()&lt;=2,"POR VENCER","EN TIEMPO")))))</f>
        <v>Entregado</v>
      </c>
      <c r="N50" s="23" t="s">
        <v>98</v>
      </c>
      <c r="P50" s="23" t="s">
        <v>182</v>
      </c>
      <c r="Q50" s="28"/>
    </row>
    <row r="51" spans="1:17" ht="16.5" hidden="1" x14ac:dyDescent="0.3">
      <c r="A51" s="23" t="s">
        <v>183</v>
      </c>
      <c r="B51" s="23" t="s">
        <v>54</v>
      </c>
      <c r="C51" s="23" t="s">
        <v>184</v>
      </c>
      <c r="D51" s="24">
        <v>46044</v>
      </c>
      <c r="E51" s="25">
        <v>8</v>
      </c>
      <c r="F51" s="24">
        <v>46044</v>
      </c>
      <c r="G51" s="23" t="s">
        <v>137</v>
      </c>
      <c r="H51" s="26">
        <v>28</v>
      </c>
      <c r="I51" s="24">
        <f t="shared" si="0"/>
        <v>46072</v>
      </c>
      <c r="J51" s="26">
        <f t="shared" ca="1" si="1"/>
        <v>-232</v>
      </c>
      <c r="K51" s="26" t="str">
        <f t="shared" ca="1" si="2"/>
        <v/>
      </c>
      <c r="L51" s="27" t="s">
        <v>1567</v>
      </c>
      <c r="M51" s="26" t="str">
        <f ca="1">IF(L51&lt;&gt;"","Entregado",IF(NOT(ISNUMBER(IF(Q51&lt;&gt;"",Q51,I51))),"REVISAR TE",IF(AND(ISNUMBER(Resumen!$B$3),IF(Q51&lt;&gt;"",Q51,I51)&lt;Resumen!$B$3),"REVISAR",IF(IF(Q51&lt;&gt;"",Q51,I51)&lt;TODAY(),"ATRASADO",IF(IF(Q51&lt;&gt;"",Q51,I51)-TODAY()&lt;=2,"POR VENCER","EN TIEMPO")))))</f>
        <v>Entregado</v>
      </c>
      <c r="N51" s="23" t="s">
        <v>98</v>
      </c>
      <c r="P51" s="23" t="s">
        <v>185</v>
      </c>
      <c r="Q51" s="28"/>
    </row>
    <row r="52" spans="1:17" ht="16.5" hidden="1" x14ac:dyDescent="0.3">
      <c r="A52" s="23" t="s">
        <v>186</v>
      </c>
      <c r="B52" s="23" t="s">
        <v>54</v>
      </c>
      <c r="C52" s="23" t="s">
        <v>188</v>
      </c>
      <c r="D52" s="24">
        <v>46050</v>
      </c>
      <c r="E52" s="25">
        <v>48</v>
      </c>
      <c r="F52" s="24">
        <v>46050</v>
      </c>
      <c r="G52" s="23" t="s">
        <v>187</v>
      </c>
      <c r="H52" s="26">
        <v>35</v>
      </c>
      <c r="I52" s="24">
        <f t="shared" si="0"/>
        <v>46085</v>
      </c>
      <c r="J52" s="26">
        <f t="shared" ca="1" si="1"/>
        <v>-219</v>
      </c>
      <c r="K52" s="26" t="str">
        <f t="shared" ca="1" si="2"/>
        <v/>
      </c>
      <c r="L52" s="27" t="s">
        <v>1567</v>
      </c>
      <c r="M52" s="26" t="str">
        <f ca="1">IF(L52&lt;&gt;"","Entregado",IF(NOT(ISNUMBER(IF(Q52&lt;&gt;"",Q52,I52))),"REVISAR TE",IF(AND(ISNUMBER(Resumen!$B$3),IF(Q52&lt;&gt;"",Q52,I52)&lt;Resumen!$B$3),"REVISAR",IF(IF(Q52&lt;&gt;"",Q52,I52)&lt;TODAY(),"ATRASADO",IF(IF(Q52&lt;&gt;"",Q52,I52)-TODAY()&lt;=2,"POR VENCER","EN TIEMPO")))))</f>
        <v>Entregado</v>
      </c>
      <c r="N52" s="23" t="s">
        <v>94</v>
      </c>
      <c r="P52" s="23" t="s">
        <v>189</v>
      </c>
      <c r="Q52" s="28"/>
    </row>
    <row r="53" spans="1:17" ht="16.5" hidden="1" x14ac:dyDescent="0.3">
      <c r="A53" s="23" t="s">
        <v>186</v>
      </c>
      <c r="B53" s="23" t="s">
        <v>54</v>
      </c>
      <c r="C53" s="23" t="s">
        <v>190</v>
      </c>
      <c r="D53" s="24">
        <v>46050</v>
      </c>
      <c r="E53" s="25">
        <v>48</v>
      </c>
      <c r="F53" s="24">
        <v>46050</v>
      </c>
      <c r="G53" s="23" t="s">
        <v>187</v>
      </c>
      <c r="H53" s="26">
        <v>35</v>
      </c>
      <c r="I53" s="24">
        <f t="shared" si="0"/>
        <v>46085</v>
      </c>
      <c r="J53" s="26">
        <f t="shared" ca="1" si="1"/>
        <v>-219</v>
      </c>
      <c r="K53" s="26" t="str">
        <f t="shared" ca="1" si="2"/>
        <v/>
      </c>
      <c r="L53" s="27" t="s">
        <v>1567</v>
      </c>
      <c r="M53" s="26" t="str">
        <f ca="1">IF(L53&lt;&gt;"","Entregado",IF(NOT(ISNUMBER(IF(Q53&lt;&gt;"",Q53,I53))),"REVISAR TE",IF(AND(ISNUMBER(Resumen!$B$3),IF(Q53&lt;&gt;"",Q53,I53)&lt;Resumen!$B$3),"REVISAR",IF(IF(Q53&lt;&gt;"",Q53,I53)&lt;TODAY(),"ATRASADO",IF(IF(Q53&lt;&gt;"",Q53,I53)-TODAY()&lt;=2,"POR VENCER","EN TIEMPO")))))</f>
        <v>Entregado</v>
      </c>
      <c r="N53" s="23" t="s">
        <v>94</v>
      </c>
      <c r="P53" s="23" t="s">
        <v>189</v>
      </c>
      <c r="Q53" s="28"/>
    </row>
    <row r="54" spans="1:17" ht="16.5" hidden="1" x14ac:dyDescent="0.3">
      <c r="A54" s="23" t="s">
        <v>191</v>
      </c>
      <c r="B54" s="23" t="s">
        <v>57</v>
      </c>
      <c r="C54" s="23" t="s">
        <v>193</v>
      </c>
      <c r="D54" s="24">
        <v>46056</v>
      </c>
      <c r="E54" s="25">
        <v>1</v>
      </c>
      <c r="F54" s="24">
        <v>46056</v>
      </c>
      <c r="G54" s="23" t="s">
        <v>192</v>
      </c>
      <c r="H54" s="26">
        <v>35</v>
      </c>
      <c r="I54" s="24">
        <f t="shared" si="0"/>
        <v>46091</v>
      </c>
      <c r="J54" s="26">
        <f t="shared" ca="1" si="1"/>
        <v>-213</v>
      </c>
      <c r="K54" s="26" t="str">
        <f t="shared" ca="1" si="2"/>
        <v/>
      </c>
      <c r="L54" s="27" t="s">
        <v>1567</v>
      </c>
      <c r="M54" s="26" t="str">
        <f ca="1">IF(L54&lt;&gt;"","Entregado",IF(NOT(ISNUMBER(IF(Q54&lt;&gt;"",Q54,I54))),"REVISAR TE",IF(AND(ISNUMBER(Resumen!$B$3),IF(Q54&lt;&gt;"",Q54,I54)&lt;Resumen!$B$3),"REVISAR",IF(IF(Q54&lt;&gt;"",Q54,I54)&lt;TODAY(),"ATRASADO",IF(IF(Q54&lt;&gt;"",Q54,I54)-TODAY()&lt;=2,"POR VENCER","EN TIEMPO")))))</f>
        <v>Entregado</v>
      </c>
      <c r="N54" s="23" t="s">
        <v>84</v>
      </c>
      <c r="P54" s="23" t="s">
        <v>194</v>
      </c>
      <c r="Q54" s="28"/>
    </row>
    <row r="55" spans="1:17" ht="16.5" hidden="1" x14ac:dyDescent="0.3">
      <c r="A55" s="23" t="s">
        <v>195</v>
      </c>
      <c r="B55" s="23" t="s">
        <v>52</v>
      </c>
      <c r="C55" s="23" t="s">
        <v>198</v>
      </c>
      <c r="D55" s="24">
        <v>46057</v>
      </c>
      <c r="E55" s="25">
        <v>44</v>
      </c>
      <c r="F55" s="24">
        <v>46057</v>
      </c>
      <c r="G55" s="23" t="s">
        <v>196</v>
      </c>
      <c r="H55" s="26">
        <v>10</v>
      </c>
      <c r="I55" s="24">
        <f t="shared" si="0"/>
        <v>46067</v>
      </c>
      <c r="J55" s="26">
        <f t="shared" ca="1" si="1"/>
        <v>-237</v>
      </c>
      <c r="K55" s="26" t="str">
        <f t="shared" ca="1" si="2"/>
        <v/>
      </c>
      <c r="L55" s="27" t="s">
        <v>1567</v>
      </c>
      <c r="M55" s="26" t="str">
        <f ca="1">IF(L55&lt;&gt;"","Entregado",IF(NOT(ISNUMBER(IF(Q55&lt;&gt;"",Q55,I55))),"REVISAR TE",IF(AND(ISNUMBER(Resumen!$B$3),IF(Q55&lt;&gt;"",Q55,I55)&lt;Resumen!$B$3),"REVISAR",IF(IF(Q55&lt;&gt;"",Q55,I55)&lt;TODAY(),"ATRASADO",IF(IF(Q55&lt;&gt;"",Q55,I55)-TODAY()&lt;=2,"POR VENCER","EN TIEMPO")))))</f>
        <v>Entregado</v>
      </c>
      <c r="N55" s="23" t="s">
        <v>197</v>
      </c>
      <c r="P55" s="23" t="s">
        <v>199</v>
      </c>
      <c r="Q55" s="28"/>
    </row>
    <row r="56" spans="1:17" ht="16.5" hidden="1" x14ac:dyDescent="0.3">
      <c r="A56" s="23" t="s">
        <v>200</v>
      </c>
      <c r="B56" s="23" t="s">
        <v>57</v>
      </c>
      <c r="C56" s="23" t="s">
        <v>201</v>
      </c>
      <c r="D56" s="24">
        <v>46057</v>
      </c>
      <c r="E56" s="25">
        <v>1</v>
      </c>
      <c r="F56" s="24">
        <v>46057</v>
      </c>
      <c r="G56" s="23" t="s">
        <v>88</v>
      </c>
      <c r="H56" s="26">
        <v>0</v>
      </c>
      <c r="I56" s="24">
        <f t="shared" si="0"/>
        <v>46057</v>
      </c>
      <c r="J56" s="26">
        <f t="shared" ca="1" si="1"/>
        <v>-247</v>
      </c>
      <c r="K56" s="26" t="str">
        <f t="shared" ca="1" si="2"/>
        <v/>
      </c>
      <c r="L56" s="27" t="s">
        <v>1567</v>
      </c>
      <c r="M56" s="26" t="str">
        <f ca="1">IF(L56&lt;&gt;"","Entregado",IF(NOT(ISNUMBER(IF(Q56&lt;&gt;"",Q56,I56))),"REVISAR TE",IF(AND(ISNUMBER(Resumen!$B$3),IF(Q56&lt;&gt;"",Q56,I56)&lt;Resumen!$B$3),"REVISAR",IF(IF(Q56&lt;&gt;"",Q56,I56)&lt;TODAY(),"ATRASADO",IF(IF(Q56&lt;&gt;"",Q56,I56)-TODAY()&lt;=2,"POR VENCER","EN TIEMPO")))))</f>
        <v>Entregado</v>
      </c>
      <c r="N56" s="23" t="s">
        <v>146</v>
      </c>
      <c r="P56" s="23" t="s">
        <v>202</v>
      </c>
      <c r="Q56" s="28"/>
    </row>
    <row r="57" spans="1:17" ht="16.5" hidden="1" x14ac:dyDescent="0.3">
      <c r="A57" s="23" t="s">
        <v>203</v>
      </c>
      <c r="B57" s="23" t="s">
        <v>54</v>
      </c>
      <c r="C57" s="23" t="s">
        <v>205</v>
      </c>
      <c r="D57" s="24">
        <v>46059</v>
      </c>
      <c r="E57" s="25">
        <v>67</v>
      </c>
      <c r="F57" s="24">
        <v>46059</v>
      </c>
      <c r="G57" s="23" t="s">
        <v>204</v>
      </c>
      <c r="H57" s="26">
        <v>42</v>
      </c>
      <c r="I57" s="24">
        <f t="shared" si="0"/>
        <v>46101</v>
      </c>
      <c r="J57" s="26">
        <f t="shared" ca="1" si="1"/>
        <v>-203</v>
      </c>
      <c r="K57" s="26" t="str">
        <f t="shared" ca="1" si="2"/>
        <v/>
      </c>
      <c r="L57" s="27" t="s">
        <v>1567</v>
      </c>
      <c r="M57" s="26" t="str">
        <f ca="1">IF(L57&lt;&gt;"","Entregado",IF(NOT(ISNUMBER(IF(Q57&lt;&gt;"",Q57,I57))),"REVISAR TE",IF(AND(ISNUMBER(Resumen!$B$3),IF(Q57&lt;&gt;"",Q57,I57)&lt;Resumen!$B$3),"REVISAR",IF(IF(Q57&lt;&gt;"",Q57,I57)&lt;TODAY(),"ATRASADO",IF(IF(Q57&lt;&gt;"",Q57,I57)-TODAY()&lt;=2,"POR VENCER","EN TIEMPO")))))</f>
        <v>Entregado</v>
      </c>
      <c r="N57" s="23" t="s">
        <v>94</v>
      </c>
      <c r="P57" s="23" t="s">
        <v>206</v>
      </c>
      <c r="Q57" s="28"/>
    </row>
    <row r="58" spans="1:17" ht="16.5" hidden="1" x14ac:dyDescent="0.3">
      <c r="A58" s="23" t="s">
        <v>203</v>
      </c>
      <c r="B58" s="23" t="s">
        <v>54</v>
      </c>
      <c r="C58" s="23" t="s">
        <v>207</v>
      </c>
      <c r="D58" s="24">
        <v>46059</v>
      </c>
      <c r="E58" s="25">
        <v>67</v>
      </c>
      <c r="F58" s="24">
        <v>46059</v>
      </c>
      <c r="G58" s="23" t="s">
        <v>204</v>
      </c>
      <c r="H58" s="26">
        <v>42</v>
      </c>
      <c r="I58" s="24">
        <f t="shared" si="0"/>
        <v>46101</v>
      </c>
      <c r="J58" s="26">
        <f t="shared" ca="1" si="1"/>
        <v>-203</v>
      </c>
      <c r="K58" s="26" t="str">
        <f t="shared" ca="1" si="2"/>
        <v/>
      </c>
      <c r="L58" s="27" t="s">
        <v>1567</v>
      </c>
      <c r="M58" s="26" t="str">
        <f ca="1">IF(L58&lt;&gt;"","Entregado",IF(NOT(ISNUMBER(IF(Q58&lt;&gt;"",Q58,I58))),"REVISAR TE",IF(AND(ISNUMBER(Resumen!$B$3),IF(Q58&lt;&gt;"",Q58,I58)&lt;Resumen!$B$3),"REVISAR",IF(IF(Q58&lt;&gt;"",Q58,I58)&lt;TODAY(),"ATRASADO",IF(IF(Q58&lt;&gt;"",Q58,I58)-TODAY()&lt;=2,"POR VENCER","EN TIEMPO")))))</f>
        <v>Entregado</v>
      </c>
      <c r="N58" s="23" t="s">
        <v>94</v>
      </c>
      <c r="P58" s="23" t="s">
        <v>206</v>
      </c>
      <c r="Q58" s="28"/>
    </row>
    <row r="59" spans="1:17" ht="16.5" hidden="1" x14ac:dyDescent="0.3">
      <c r="A59" s="23" t="s">
        <v>208</v>
      </c>
      <c r="B59" s="23" t="s">
        <v>52</v>
      </c>
      <c r="C59" s="23" t="s">
        <v>209</v>
      </c>
      <c r="D59" s="24">
        <v>46059</v>
      </c>
      <c r="E59" s="25">
        <v>1</v>
      </c>
      <c r="F59" s="24">
        <v>46059</v>
      </c>
      <c r="G59" s="23" t="s">
        <v>196</v>
      </c>
      <c r="H59" s="26">
        <v>10</v>
      </c>
      <c r="I59" s="24">
        <f t="shared" si="0"/>
        <v>46069</v>
      </c>
      <c r="J59" s="26">
        <f t="shared" ca="1" si="1"/>
        <v>-235</v>
      </c>
      <c r="K59" s="26" t="str">
        <f t="shared" ca="1" si="2"/>
        <v/>
      </c>
      <c r="L59" s="27" t="s">
        <v>1567</v>
      </c>
      <c r="M59" s="26" t="str">
        <f ca="1">IF(L59&lt;&gt;"","Entregado",IF(NOT(ISNUMBER(IF(Q59&lt;&gt;"",Q59,I59))),"REVISAR TE",IF(AND(ISNUMBER(Resumen!$B$3),IF(Q59&lt;&gt;"",Q59,I59)&lt;Resumen!$B$3),"REVISAR",IF(IF(Q59&lt;&gt;"",Q59,I59)&lt;TODAY(),"ATRASADO",IF(IF(Q59&lt;&gt;"",Q59,I59)-TODAY()&lt;=2,"POR VENCER","EN TIEMPO")))))</f>
        <v>Entregado</v>
      </c>
      <c r="N59" s="23" t="s">
        <v>165</v>
      </c>
      <c r="P59" s="23" t="s">
        <v>210</v>
      </c>
      <c r="Q59" s="28"/>
    </row>
    <row r="60" spans="1:17" ht="16.5" hidden="1" x14ac:dyDescent="0.3">
      <c r="A60" s="23" t="s">
        <v>211</v>
      </c>
      <c r="B60" s="23" t="s">
        <v>54</v>
      </c>
      <c r="C60" s="23" t="s">
        <v>212</v>
      </c>
      <c r="D60" s="24">
        <v>46062</v>
      </c>
      <c r="E60" s="25">
        <v>1</v>
      </c>
      <c r="F60" s="24">
        <v>46062</v>
      </c>
      <c r="G60" s="23" t="s">
        <v>156</v>
      </c>
      <c r="H60" s="26">
        <v>21</v>
      </c>
      <c r="I60" s="24">
        <f t="shared" si="0"/>
        <v>46083</v>
      </c>
      <c r="J60" s="26">
        <f t="shared" ca="1" si="1"/>
        <v>-221</v>
      </c>
      <c r="K60" s="26" t="str">
        <f t="shared" ca="1" si="2"/>
        <v/>
      </c>
      <c r="L60" s="27" t="s">
        <v>1567</v>
      </c>
      <c r="M60" s="26" t="str">
        <f ca="1">IF(L60&lt;&gt;"","Entregado",IF(NOT(ISNUMBER(IF(Q60&lt;&gt;"",Q60,I60))),"REVISAR TE",IF(AND(ISNUMBER(Resumen!$B$3),IF(Q60&lt;&gt;"",Q60,I60)&lt;Resumen!$B$3),"REVISAR",IF(IF(Q60&lt;&gt;"",Q60,I60)&lt;TODAY(),"ATRASADO",IF(IF(Q60&lt;&gt;"",Q60,I60)-TODAY()&lt;=2,"POR VENCER","EN TIEMPO")))))</f>
        <v>Entregado</v>
      </c>
      <c r="N60" s="23" t="s">
        <v>84</v>
      </c>
      <c r="P60" s="23" t="s">
        <v>213</v>
      </c>
      <c r="Q60" s="28"/>
    </row>
    <row r="61" spans="1:17" ht="16.5" hidden="1" x14ac:dyDescent="0.3">
      <c r="A61" s="23" t="s">
        <v>211</v>
      </c>
      <c r="B61" s="23" t="s">
        <v>54</v>
      </c>
      <c r="C61" s="23" t="s">
        <v>215</v>
      </c>
      <c r="D61" s="24">
        <v>46062</v>
      </c>
      <c r="E61" s="25">
        <v>1</v>
      </c>
      <c r="F61" s="24">
        <v>46062</v>
      </c>
      <c r="G61" s="23" t="s">
        <v>156</v>
      </c>
      <c r="H61" s="26">
        <v>21</v>
      </c>
      <c r="I61" s="24">
        <f t="shared" si="0"/>
        <v>46083</v>
      </c>
      <c r="J61" s="26">
        <f t="shared" ca="1" si="1"/>
        <v>-221</v>
      </c>
      <c r="K61" s="26" t="str">
        <f t="shared" ca="1" si="2"/>
        <v/>
      </c>
      <c r="L61" s="27" t="s">
        <v>1567</v>
      </c>
      <c r="M61" s="26" t="str">
        <f ca="1">IF(L61&lt;&gt;"","Entregado",IF(NOT(ISNUMBER(IF(Q61&lt;&gt;"",Q61,I61))),"REVISAR TE",IF(AND(ISNUMBER(Resumen!$B$3),IF(Q61&lt;&gt;"",Q61,I61)&lt;Resumen!$B$3),"REVISAR",IF(IF(Q61&lt;&gt;"",Q61,I61)&lt;TODAY(),"ATRASADO",IF(IF(Q61&lt;&gt;"",Q61,I61)-TODAY()&lt;=2,"POR VENCER","EN TIEMPO")))))</f>
        <v>Entregado</v>
      </c>
      <c r="N61" s="23" t="s">
        <v>214</v>
      </c>
      <c r="P61" s="23" t="s">
        <v>213</v>
      </c>
      <c r="Q61" s="28"/>
    </row>
    <row r="62" spans="1:17" ht="16.5" hidden="1" x14ac:dyDescent="0.3">
      <c r="A62" s="23" t="s">
        <v>211</v>
      </c>
      <c r="B62" s="23" t="s">
        <v>54</v>
      </c>
      <c r="C62" s="23" t="s">
        <v>217</v>
      </c>
      <c r="D62" s="24">
        <v>46062</v>
      </c>
      <c r="E62" s="25">
        <v>1</v>
      </c>
      <c r="F62" s="24">
        <v>46062</v>
      </c>
      <c r="G62" s="23" t="s">
        <v>156</v>
      </c>
      <c r="H62" s="26">
        <v>21</v>
      </c>
      <c r="I62" s="24">
        <f t="shared" si="0"/>
        <v>46083</v>
      </c>
      <c r="J62" s="26">
        <f t="shared" ca="1" si="1"/>
        <v>-221</v>
      </c>
      <c r="K62" s="26" t="str">
        <f t="shared" ca="1" si="2"/>
        <v/>
      </c>
      <c r="L62" s="27" t="s">
        <v>1567</v>
      </c>
      <c r="M62" s="26" t="str">
        <f ca="1">IF(L62&lt;&gt;"","Entregado",IF(NOT(ISNUMBER(IF(Q62&lt;&gt;"",Q62,I62))),"REVISAR TE",IF(AND(ISNUMBER(Resumen!$B$3),IF(Q62&lt;&gt;"",Q62,I62)&lt;Resumen!$B$3),"REVISAR",IF(IF(Q62&lt;&gt;"",Q62,I62)&lt;TODAY(),"ATRASADO",IF(IF(Q62&lt;&gt;"",Q62,I62)-TODAY()&lt;=2,"POR VENCER","EN TIEMPO")))))</f>
        <v>Entregado</v>
      </c>
      <c r="N62" s="23" t="s">
        <v>216</v>
      </c>
      <c r="P62" s="23" t="s">
        <v>213</v>
      </c>
      <c r="Q62" s="28"/>
    </row>
    <row r="63" spans="1:17" ht="16.5" hidden="1" x14ac:dyDescent="0.3">
      <c r="A63" s="23" t="s">
        <v>211</v>
      </c>
      <c r="B63" s="23" t="s">
        <v>54</v>
      </c>
      <c r="C63" s="23" t="s">
        <v>218</v>
      </c>
      <c r="D63" s="24">
        <v>46062</v>
      </c>
      <c r="E63" s="25">
        <v>1</v>
      </c>
      <c r="F63" s="24">
        <v>46062</v>
      </c>
      <c r="G63" s="23" t="s">
        <v>156</v>
      </c>
      <c r="H63" s="26">
        <v>21</v>
      </c>
      <c r="I63" s="24">
        <f t="shared" si="0"/>
        <v>46083</v>
      </c>
      <c r="J63" s="26">
        <f t="shared" ca="1" si="1"/>
        <v>-221</v>
      </c>
      <c r="K63" s="26" t="str">
        <f t="shared" ca="1" si="2"/>
        <v/>
      </c>
      <c r="L63" s="27" t="s">
        <v>1567</v>
      </c>
      <c r="M63" s="26" t="str">
        <f ca="1">IF(L63&lt;&gt;"","Entregado",IF(NOT(ISNUMBER(IF(Q63&lt;&gt;"",Q63,I63))),"REVISAR TE",IF(AND(ISNUMBER(Resumen!$B$3),IF(Q63&lt;&gt;"",Q63,I63)&lt;Resumen!$B$3),"REVISAR",IF(IF(Q63&lt;&gt;"",Q63,I63)&lt;TODAY(),"ATRASADO",IF(IF(Q63&lt;&gt;"",Q63,I63)-TODAY()&lt;=2,"POR VENCER","EN TIEMPO")))))</f>
        <v>Entregado</v>
      </c>
      <c r="N63" s="23" t="s">
        <v>214</v>
      </c>
      <c r="P63" s="23" t="s">
        <v>213</v>
      </c>
      <c r="Q63" s="28"/>
    </row>
    <row r="64" spans="1:17" ht="16.5" hidden="1" x14ac:dyDescent="0.3">
      <c r="A64" s="23" t="s">
        <v>219</v>
      </c>
      <c r="B64" s="23"/>
      <c r="C64" s="23" t="s">
        <v>220</v>
      </c>
      <c r="D64" s="24">
        <v>46064</v>
      </c>
      <c r="E64" s="25">
        <v>32</v>
      </c>
      <c r="F64" s="24">
        <v>46064</v>
      </c>
      <c r="G64" s="23" t="s">
        <v>192</v>
      </c>
      <c r="H64" s="26">
        <v>35</v>
      </c>
      <c r="I64" s="24">
        <f t="shared" si="0"/>
        <v>46099</v>
      </c>
      <c r="J64" s="26">
        <f t="shared" ca="1" si="1"/>
        <v>-205</v>
      </c>
      <c r="K64" s="26" t="str">
        <f t="shared" ca="1" si="2"/>
        <v/>
      </c>
      <c r="L64" s="27" t="s">
        <v>1567</v>
      </c>
      <c r="M64" s="26" t="str">
        <f ca="1">IF(L64&lt;&gt;"","Entregado",IF(NOT(ISNUMBER(IF(Q64&lt;&gt;"",Q64,I64))),"REVISAR TE",IF(AND(ISNUMBER(Resumen!$B$3),IF(Q64&lt;&gt;"",Q64,I64)&lt;Resumen!$B$3),"REVISAR",IF(IF(Q64&lt;&gt;"",Q64,I64)&lt;TODAY(),"ATRASADO",IF(IF(Q64&lt;&gt;"",Q64,I64)-TODAY()&lt;=2,"POR VENCER","EN TIEMPO")))))</f>
        <v>Entregado</v>
      </c>
      <c r="N64" s="23" t="s">
        <v>94</v>
      </c>
      <c r="P64" s="23" t="s">
        <v>221</v>
      </c>
      <c r="Q64" s="28"/>
    </row>
    <row r="65" spans="1:17" ht="16.5" hidden="1" x14ac:dyDescent="0.3">
      <c r="A65" s="23" t="s">
        <v>219</v>
      </c>
      <c r="B65" s="23"/>
      <c r="C65" s="23" t="s">
        <v>222</v>
      </c>
      <c r="D65" s="24">
        <v>46064</v>
      </c>
      <c r="E65" s="25">
        <v>32</v>
      </c>
      <c r="F65" s="24">
        <v>46064</v>
      </c>
      <c r="G65" s="23" t="s">
        <v>192</v>
      </c>
      <c r="H65" s="26">
        <v>35</v>
      </c>
      <c r="I65" s="24">
        <f t="shared" si="0"/>
        <v>46099</v>
      </c>
      <c r="J65" s="26">
        <f t="shared" ca="1" si="1"/>
        <v>-205</v>
      </c>
      <c r="K65" s="26" t="str">
        <f t="shared" ca="1" si="2"/>
        <v/>
      </c>
      <c r="L65" s="27" t="s">
        <v>1567</v>
      </c>
      <c r="M65" s="26" t="str">
        <f ca="1">IF(L65&lt;&gt;"","Entregado",IF(NOT(ISNUMBER(IF(Q65&lt;&gt;"",Q65,I65))),"REVISAR TE",IF(AND(ISNUMBER(Resumen!$B$3),IF(Q65&lt;&gt;"",Q65,I65)&lt;Resumen!$B$3),"REVISAR",IF(IF(Q65&lt;&gt;"",Q65,I65)&lt;TODAY(),"ATRASADO",IF(IF(Q65&lt;&gt;"",Q65,I65)-TODAY()&lt;=2,"POR VENCER","EN TIEMPO")))))</f>
        <v>Entregado</v>
      </c>
      <c r="N65" s="23" t="s">
        <v>94</v>
      </c>
      <c r="P65" s="23" t="s">
        <v>221</v>
      </c>
      <c r="Q65" s="28"/>
    </row>
    <row r="66" spans="1:17" ht="16.5" hidden="1" x14ac:dyDescent="0.3">
      <c r="A66" s="23" t="s">
        <v>219</v>
      </c>
      <c r="B66" s="23"/>
      <c r="C66" s="23" t="s">
        <v>223</v>
      </c>
      <c r="D66" s="24">
        <v>46064</v>
      </c>
      <c r="E66" s="25">
        <v>49</v>
      </c>
      <c r="F66" s="24">
        <v>46064</v>
      </c>
      <c r="G66" s="23" t="s">
        <v>192</v>
      </c>
      <c r="H66" s="26">
        <v>35</v>
      </c>
      <c r="I66" s="24">
        <f t="shared" ref="I66:I129" si="3">IF(AND(D66&lt;&gt;"",H66&lt;&gt;""),D66+H66,"")</f>
        <v>46099</v>
      </c>
      <c r="J66" s="26">
        <f t="shared" ref="J66:J129" ca="1" si="4">I66-TODAY()</f>
        <v>-205</v>
      </c>
      <c r="K66" s="26" t="str">
        <f t="shared" ref="K66:K129" ca="1" si="5">IF(AND(L66="",ISNUMBER(IF(Q66&lt;&gt;"",Q66,I66))),IF(IF(Q66&lt;&gt;"",Q66,I66)&lt;TODAY(),TODAY()-IF(Q66&lt;&gt;"",Q66,I66),""),"")</f>
        <v/>
      </c>
      <c r="L66" s="27" t="s">
        <v>1567</v>
      </c>
      <c r="M66" s="26" t="str">
        <f ca="1">IF(L66&lt;&gt;"","Entregado",IF(NOT(ISNUMBER(IF(Q66&lt;&gt;"",Q66,I66))),"REVISAR TE",IF(AND(ISNUMBER(Resumen!$B$3),IF(Q66&lt;&gt;"",Q66,I66)&lt;Resumen!$B$3),"REVISAR",IF(IF(Q66&lt;&gt;"",Q66,I66)&lt;TODAY(),"ATRASADO",IF(IF(Q66&lt;&gt;"",Q66,I66)-TODAY()&lt;=2,"POR VENCER","EN TIEMPO")))))</f>
        <v>Entregado</v>
      </c>
      <c r="N66" s="23" t="s">
        <v>94</v>
      </c>
      <c r="P66" s="23" t="s">
        <v>221</v>
      </c>
      <c r="Q66" s="28"/>
    </row>
    <row r="67" spans="1:17" ht="16.5" hidden="1" x14ac:dyDescent="0.3">
      <c r="A67" s="23" t="s">
        <v>219</v>
      </c>
      <c r="B67" s="23"/>
      <c r="C67" s="23" t="s">
        <v>224</v>
      </c>
      <c r="D67" s="24">
        <v>46064</v>
      </c>
      <c r="E67" s="25">
        <v>49</v>
      </c>
      <c r="F67" s="24">
        <v>46064</v>
      </c>
      <c r="G67" s="23" t="s">
        <v>192</v>
      </c>
      <c r="H67" s="26">
        <v>35</v>
      </c>
      <c r="I67" s="24">
        <f t="shared" si="3"/>
        <v>46099</v>
      </c>
      <c r="J67" s="26">
        <f t="shared" ca="1" si="4"/>
        <v>-205</v>
      </c>
      <c r="K67" s="26" t="str">
        <f t="shared" ca="1" si="5"/>
        <v/>
      </c>
      <c r="L67" s="27" t="s">
        <v>1567</v>
      </c>
      <c r="M67" s="26" t="str">
        <f ca="1">IF(L67&lt;&gt;"","Entregado",IF(NOT(ISNUMBER(IF(Q67&lt;&gt;"",Q67,I67))),"REVISAR TE",IF(AND(ISNUMBER(Resumen!$B$3),IF(Q67&lt;&gt;"",Q67,I67)&lt;Resumen!$B$3),"REVISAR",IF(IF(Q67&lt;&gt;"",Q67,I67)&lt;TODAY(),"ATRASADO",IF(IF(Q67&lt;&gt;"",Q67,I67)-TODAY()&lt;=2,"POR VENCER","EN TIEMPO")))))</f>
        <v>Entregado</v>
      </c>
      <c r="N67" s="23" t="s">
        <v>94</v>
      </c>
      <c r="P67" s="23" t="s">
        <v>221</v>
      </c>
      <c r="Q67" s="28"/>
    </row>
    <row r="68" spans="1:17" ht="16.5" hidden="1" x14ac:dyDescent="0.3">
      <c r="A68" s="23" t="s">
        <v>225</v>
      </c>
      <c r="B68" s="23" t="s">
        <v>52</v>
      </c>
      <c r="C68" s="23" t="s">
        <v>227</v>
      </c>
      <c r="D68" s="24">
        <v>46064</v>
      </c>
      <c r="E68" s="25">
        <v>1</v>
      </c>
      <c r="F68" s="24">
        <v>46064</v>
      </c>
      <c r="G68" s="23" t="s">
        <v>226</v>
      </c>
      <c r="H68" s="26"/>
      <c r="I68" s="24" t="str">
        <f t="shared" si="3"/>
        <v/>
      </c>
      <c r="J68" s="26" t="e">
        <f t="shared" ca="1" si="4"/>
        <v>#VALUE!</v>
      </c>
      <c r="K68" s="26" t="str">
        <f t="shared" ca="1" si="5"/>
        <v/>
      </c>
      <c r="L68" s="27" t="s">
        <v>1567</v>
      </c>
      <c r="M68" s="26" t="str">
        <f ca="1">IF(L68&lt;&gt;"","Entregado",IF(NOT(ISNUMBER(IF(Q68&lt;&gt;"",Q68,I68))),"REVISAR TE",IF(AND(ISNUMBER(Resumen!$B$3),IF(Q68&lt;&gt;"",Q68,I68)&lt;Resumen!$B$3),"REVISAR",IF(IF(Q68&lt;&gt;"",Q68,I68)&lt;TODAY(),"ATRASADO",IF(IF(Q68&lt;&gt;"",Q68,I68)-TODAY()&lt;=2,"POR VENCER","EN TIEMPO")))))</f>
        <v>Entregado</v>
      </c>
      <c r="N68" s="23" t="s">
        <v>165</v>
      </c>
      <c r="P68" s="23" t="s">
        <v>228</v>
      </c>
      <c r="Q68" s="28"/>
    </row>
    <row r="69" spans="1:17" ht="16.5" hidden="1" x14ac:dyDescent="0.3">
      <c r="A69" s="23" t="s">
        <v>225</v>
      </c>
      <c r="B69" s="23" t="s">
        <v>52</v>
      </c>
      <c r="C69" s="23" t="s">
        <v>229</v>
      </c>
      <c r="D69" s="24">
        <v>46064</v>
      </c>
      <c r="E69" s="25">
        <v>1</v>
      </c>
      <c r="F69" s="24">
        <v>46064</v>
      </c>
      <c r="G69" s="23" t="s">
        <v>226</v>
      </c>
      <c r="H69" s="26"/>
      <c r="I69" s="24" t="str">
        <f t="shared" si="3"/>
        <v/>
      </c>
      <c r="J69" s="26" t="e">
        <f t="shared" ca="1" si="4"/>
        <v>#VALUE!</v>
      </c>
      <c r="K69" s="26" t="str">
        <f t="shared" ca="1" si="5"/>
        <v/>
      </c>
      <c r="L69" s="27" t="s">
        <v>1567</v>
      </c>
      <c r="M69" s="26" t="str">
        <f ca="1">IF(L69&lt;&gt;"","Entregado",IF(NOT(ISNUMBER(IF(Q69&lt;&gt;"",Q69,I69))),"REVISAR TE",IF(AND(ISNUMBER(Resumen!$B$3),IF(Q69&lt;&gt;"",Q69,I69)&lt;Resumen!$B$3),"REVISAR",IF(IF(Q69&lt;&gt;"",Q69,I69)&lt;TODAY(),"ATRASADO",IF(IF(Q69&lt;&gt;"",Q69,I69)-TODAY()&lt;=2,"POR VENCER","EN TIEMPO")))))</f>
        <v>Entregado</v>
      </c>
      <c r="N69" s="23" t="s">
        <v>165</v>
      </c>
      <c r="P69" s="23" t="s">
        <v>228</v>
      </c>
      <c r="Q69" s="28"/>
    </row>
    <row r="70" spans="1:17" ht="16.5" hidden="1" x14ac:dyDescent="0.3">
      <c r="A70" s="23" t="s">
        <v>225</v>
      </c>
      <c r="B70" s="23" t="s">
        <v>52</v>
      </c>
      <c r="C70" s="23" t="s">
        <v>230</v>
      </c>
      <c r="D70" s="24">
        <v>46064</v>
      </c>
      <c r="E70" s="25">
        <v>1</v>
      </c>
      <c r="F70" s="24">
        <v>46064</v>
      </c>
      <c r="G70" s="23" t="s">
        <v>226</v>
      </c>
      <c r="H70" s="26"/>
      <c r="I70" s="24" t="str">
        <f t="shared" si="3"/>
        <v/>
      </c>
      <c r="J70" s="26" t="e">
        <f t="shared" ca="1" si="4"/>
        <v>#VALUE!</v>
      </c>
      <c r="K70" s="26" t="str">
        <f t="shared" ca="1" si="5"/>
        <v/>
      </c>
      <c r="L70" s="27" t="s">
        <v>1567</v>
      </c>
      <c r="M70" s="26" t="str">
        <f ca="1">IF(L70&lt;&gt;"","Entregado",IF(NOT(ISNUMBER(IF(Q70&lt;&gt;"",Q70,I70))),"REVISAR TE",IF(AND(ISNUMBER(Resumen!$B$3),IF(Q70&lt;&gt;"",Q70,I70)&lt;Resumen!$B$3),"REVISAR",IF(IF(Q70&lt;&gt;"",Q70,I70)&lt;TODAY(),"ATRASADO",IF(IF(Q70&lt;&gt;"",Q70,I70)-TODAY()&lt;=2,"POR VENCER","EN TIEMPO")))))</f>
        <v>Entregado</v>
      </c>
      <c r="N70" s="23" t="s">
        <v>165</v>
      </c>
      <c r="P70" s="23" t="s">
        <v>228</v>
      </c>
      <c r="Q70" s="28"/>
    </row>
    <row r="71" spans="1:17" ht="16.5" hidden="1" x14ac:dyDescent="0.3">
      <c r="A71" s="23" t="s">
        <v>225</v>
      </c>
      <c r="B71" s="23" t="s">
        <v>52</v>
      </c>
      <c r="C71" s="23" t="s">
        <v>231</v>
      </c>
      <c r="D71" s="24">
        <v>46064</v>
      </c>
      <c r="E71" s="25">
        <v>1</v>
      </c>
      <c r="F71" s="24">
        <v>46064</v>
      </c>
      <c r="G71" s="23" t="s">
        <v>226</v>
      </c>
      <c r="H71" s="26"/>
      <c r="I71" s="24" t="str">
        <f t="shared" si="3"/>
        <v/>
      </c>
      <c r="J71" s="26" t="e">
        <f t="shared" ca="1" si="4"/>
        <v>#VALUE!</v>
      </c>
      <c r="K71" s="26" t="str">
        <f t="shared" ca="1" si="5"/>
        <v/>
      </c>
      <c r="L71" s="27" t="s">
        <v>1567</v>
      </c>
      <c r="M71" s="26" t="str">
        <f ca="1">IF(L71&lt;&gt;"","Entregado",IF(NOT(ISNUMBER(IF(Q71&lt;&gt;"",Q71,I71))),"REVISAR TE",IF(AND(ISNUMBER(Resumen!$B$3),IF(Q71&lt;&gt;"",Q71,I71)&lt;Resumen!$B$3),"REVISAR",IF(IF(Q71&lt;&gt;"",Q71,I71)&lt;TODAY(),"ATRASADO",IF(IF(Q71&lt;&gt;"",Q71,I71)-TODAY()&lt;=2,"POR VENCER","EN TIEMPO")))))</f>
        <v>Entregado</v>
      </c>
      <c r="N71" s="23" t="s">
        <v>165</v>
      </c>
      <c r="P71" s="23" t="s">
        <v>228</v>
      </c>
      <c r="Q71" s="28"/>
    </row>
    <row r="72" spans="1:17" ht="16.5" hidden="1" x14ac:dyDescent="0.3">
      <c r="A72" s="23" t="s">
        <v>225</v>
      </c>
      <c r="B72" s="23" t="s">
        <v>52</v>
      </c>
      <c r="C72" s="23" t="s">
        <v>232</v>
      </c>
      <c r="D72" s="24">
        <v>46064</v>
      </c>
      <c r="E72" s="25">
        <v>1</v>
      </c>
      <c r="F72" s="24">
        <v>46064</v>
      </c>
      <c r="G72" s="23" t="s">
        <v>226</v>
      </c>
      <c r="H72" s="26"/>
      <c r="I72" s="24" t="str">
        <f t="shared" si="3"/>
        <v/>
      </c>
      <c r="J72" s="26" t="e">
        <f t="shared" ca="1" si="4"/>
        <v>#VALUE!</v>
      </c>
      <c r="K72" s="26" t="str">
        <f t="shared" ca="1" si="5"/>
        <v/>
      </c>
      <c r="L72" s="27" t="s">
        <v>1567</v>
      </c>
      <c r="M72" s="26" t="str">
        <f ca="1">IF(L72&lt;&gt;"","Entregado",IF(NOT(ISNUMBER(IF(Q72&lt;&gt;"",Q72,I72))),"REVISAR TE",IF(AND(ISNUMBER(Resumen!$B$3),IF(Q72&lt;&gt;"",Q72,I72)&lt;Resumen!$B$3),"REVISAR",IF(IF(Q72&lt;&gt;"",Q72,I72)&lt;TODAY(),"ATRASADO",IF(IF(Q72&lt;&gt;"",Q72,I72)-TODAY()&lt;=2,"POR VENCER","EN TIEMPO")))))</f>
        <v>Entregado</v>
      </c>
      <c r="N72" s="23" t="s">
        <v>165</v>
      </c>
      <c r="P72" s="23" t="s">
        <v>228</v>
      </c>
      <c r="Q72" s="28"/>
    </row>
    <row r="73" spans="1:17" ht="16.5" hidden="1" x14ac:dyDescent="0.3">
      <c r="A73" s="23" t="s">
        <v>225</v>
      </c>
      <c r="B73" s="23" t="s">
        <v>52</v>
      </c>
      <c r="C73" s="23" t="s">
        <v>233</v>
      </c>
      <c r="D73" s="24">
        <v>46064</v>
      </c>
      <c r="E73" s="25">
        <v>1</v>
      </c>
      <c r="F73" s="24">
        <v>46064</v>
      </c>
      <c r="G73" s="23" t="s">
        <v>226</v>
      </c>
      <c r="H73" s="26"/>
      <c r="I73" s="24" t="str">
        <f t="shared" si="3"/>
        <v/>
      </c>
      <c r="J73" s="26" t="e">
        <f t="shared" ca="1" si="4"/>
        <v>#VALUE!</v>
      </c>
      <c r="K73" s="26" t="str">
        <f t="shared" ca="1" si="5"/>
        <v/>
      </c>
      <c r="L73" s="27" t="s">
        <v>1567</v>
      </c>
      <c r="M73" s="26" t="str">
        <f ca="1">IF(L73&lt;&gt;"","Entregado",IF(NOT(ISNUMBER(IF(Q73&lt;&gt;"",Q73,I73))),"REVISAR TE",IF(AND(ISNUMBER(Resumen!$B$3),IF(Q73&lt;&gt;"",Q73,I73)&lt;Resumen!$B$3),"REVISAR",IF(IF(Q73&lt;&gt;"",Q73,I73)&lt;TODAY(),"ATRASADO",IF(IF(Q73&lt;&gt;"",Q73,I73)-TODAY()&lt;=2,"POR VENCER","EN TIEMPO")))))</f>
        <v>Entregado</v>
      </c>
      <c r="N73" s="23" t="s">
        <v>165</v>
      </c>
      <c r="P73" s="23" t="s">
        <v>228</v>
      </c>
      <c r="Q73" s="28"/>
    </row>
    <row r="74" spans="1:17" ht="16.5" hidden="1" x14ac:dyDescent="0.3">
      <c r="A74" s="23" t="s">
        <v>225</v>
      </c>
      <c r="B74" s="23" t="s">
        <v>52</v>
      </c>
      <c r="C74" s="23" t="s">
        <v>234</v>
      </c>
      <c r="D74" s="24">
        <v>46064</v>
      </c>
      <c r="E74" s="25">
        <v>1</v>
      </c>
      <c r="F74" s="24">
        <v>46064</v>
      </c>
      <c r="G74" s="23" t="s">
        <v>226</v>
      </c>
      <c r="H74" s="26"/>
      <c r="I74" s="24" t="str">
        <f t="shared" si="3"/>
        <v/>
      </c>
      <c r="J74" s="26" t="e">
        <f t="shared" ca="1" si="4"/>
        <v>#VALUE!</v>
      </c>
      <c r="K74" s="26" t="str">
        <f t="shared" ca="1" si="5"/>
        <v/>
      </c>
      <c r="L74" s="27" t="s">
        <v>1567</v>
      </c>
      <c r="M74" s="26" t="str">
        <f ca="1">IF(L74&lt;&gt;"","Entregado",IF(NOT(ISNUMBER(IF(Q74&lt;&gt;"",Q74,I74))),"REVISAR TE",IF(AND(ISNUMBER(Resumen!$B$3),IF(Q74&lt;&gt;"",Q74,I74)&lt;Resumen!$B$3),"REVISAR",IF(IF(Q74&lt;&gt;"",Q74,I74)&lt;TODAY(),"ATRASADO",IF(IF(Q74&lt;&gt;"",Q74,I74)-TODAY()&lt;=2,"POR VENCER","EN TIEMPO")))))</f>
        <v>Entregado</v>
      </c>
      <c r="N74" s="23" t="s">
        <v>165</v>
      </c>
      <c r="P74" s="23" t="s">
        <v>228</v>
      </c>
      <c r="Q74" s="28"/>
    </row>
    <row r="75" spans="1:17" ht="16.5" hidden="1" x14ac:dyDescent="0.3">
      <c r="A75" s="23" t="s">
        <v>225</v>
      </c>
      <c r="B75" s="23" t="s">
        <v>52</v>
      </c>
      <c r="C75" s="23" t="s">
        <v>235</v>
      </c>
      <c r="D75" s="24">
        <v>46064</v>
      </c>
      <c r="E75" s="25">
        <v>1</v>
      </c>
      <c r="F75" s="24">
        <v>46064</v>
      </c>
      <c r="G75" s="23" t="s">
        <v>226</v>
      </c>
      <c r="H75" s="26"/>
      <c r="I75" s="24" t="str">
        <f t="shared" si="3"/>
        <v/>
      </c>
      <c r="J75" s="26" t="e">
        <f t="shared" ca="1" si="4"/>
        <v>#VALUE!</v>
      </c>
      <c r="K75" s="26" t="str">
        <f t="shared" ca="1" si="5"/>
        <v/>
      </c>
      <c r="L75" s="27" t="s">
        <v>1567</v>
      </c>
      <c r="M75" s="26" t="str">
        <f ca="1">IF(L75&lt;&gt;"","Entregado",IF(NOT(ISNUMBER(IF(Q75&lt;&gt;"",Q75,I75))),"REVISAR TE",IF(AND(ISNUMBER(Resumen!$B$3),IF(Q75&lt;&gt;"",Q75,I75)&lt;Resumen!$B$3),"REVISAR",IF(IF(Q75&lt;&gt;"",Q75,I75)&lt;TODAY(),"ATRASADO",IF(IF(Q75&lt;&gt;"",Q75,I75)-TODAY()&lt;=2,"POR VENCER","EN TIEMPO")))))</f>
        <v>Entregado</v>
      </c>
      <c r="N75" s="23" t="s">
        <v>165</v>
      </c>
      <c r="P75" s="23" t="s">
        <v>228</v>
      </c>
      <c r="Q75" s="28"/>
    </row>
    <row r="76" spans="1:17" ht="16.5" hidden="1" x14ac:dyDescent="0.3">
      <c r="A76" s="23" t="s">
        <v>225</v>
      </c>
      <c r="B76" s="23" t="s">
        <v>52</v>
      </c>
      <c r="C76" s="23" t="s">
        <v>236</v>
      </c>
      <c r="D76" s="24">
        <v>46064</v>
      </c>
      <c r="E76" s="25">
        <v>1</v>
      </c>
      <c r="F76" s="24">
        <v>46064</v>
      </c>
      <c r="G76" s="23" t="s">
        <v>226</v>
      </c>
      <c r="H76" s="26"/>
      <c r="I76" s="24" t="str">
        <f t="shared" si="3"/>
        <v/>
      </c>
      <c r="J76" s="26" t="e">
        <f t="shared" ca="1" si="4"/>
        <v>#VALUE!</v>
      </c>
      <c r="K76" s="26" t="str">
        <f t="shared" ca="1" si="5"/>
        <v/>
      </c>
      <c r="L76" s="27" t="s">
        <v>1567</v>
      </c>
      <c r="M76" s="26" t="str">
        <f ca="1">IF(L76&lt;&gt;"","Entregado",IF(NOT(ISNUMBER(IF(Q76&lt;&gt;"",Q76,I76))),"REVISAR TE",IF(AND(ISNUMBER(Resumen!$B$3),IF(Q76&lt;&gt;"",Q76,I76)&lt;Resumen!$B$3),"REVISAR",IF(IF(Q76&lt;&gt;"",Q76,I76)&lt;TODAY(),"ATRASADO",IF(IF(Q76&lt;&gt;"",Q76,I76)-TODAY()&lt;=2,"POR VENCER","EN TIEMPO")))))</f>
        <v>Entregado</v>
      </c>
      <c r="N76" s="23" t="s">
        <v>165</v>
      </c>
      <c r="P76" s="23" t="s">
        <v>228</v>
      </c>
      <c r="Q76" s="28"/>
    </row>
    <row r="77" spans="1:17" ht="16.5" hidden="1" x14ac:dyDescent="0.3">
      <c r="A77" s="23" t="s">
        <v>225</v>
      </c>
      <c r="B77" s="23" t="s">
        <v>52</v>
      </c>
      <c r="C77" s="23" t="s">
        <v>237</v>
      </c>
      <c r="D77" s="24">
        <v>46064</v>
      </c>
      <c r="E77" s="25">
        <v>1</v>
      </c>
      <c r="F77" s="24">
        <v>46064</v>
      </c>
      <c r="G77" s="23" t="s">
        <v>226</v>
      </c>
      <c r="H77" s="26"/>
      <c r="I77" s="24" t="str">
        <f t="shared" si="3"/>
        <v/>
      </c>
      <c r="J77" s="26" t="e">
        <f t="shared" ca="1" si="4"/>
        <v>#VALUE!</v>
      </c>
      <c r="K77" s="26" t="str">
        <f t="shared" ca="1" si="5"/>
        <v/>
      </c>
      <c r="L77" s="27" t="s">
        <v>1567</v>
      </c>
      <c r="M77" s="26" t="str">
        <f ca="1">IF(L77&lt;&gt;"","Entregado",IF(NOT(ISNUMBER(IF(Q77&lt;&gt;"",Q77,I77))),"REVISAR TE",IF(AND(ISNUMBER(Resumen!$B$3),IF(Q77&lt;&gt;"",Q77,I77)&lt;Resumen!$B$3),"REVISAR",IF(IF(Q77&lt;&gt;"",Q77,I77)&lt;TODAY(),"ATRASADO",IF(IF(Q77&lt;&gt;"",Q77,I77)-TODAY()&lt;=2,"POR VENCER","EN TIEMPO")))))</f>
        <v>Entregado</v>
      </c>
      <c r="N77" s="23" t="s">
        <v>165</v>
      </c>
      <c r="P77" s="23" t="s">
        <v>228</v>
      </c>
      <c r="Q77" s="28"/>
    </row>
    <row r="78" spans="1:17" ht="16.5" hidden="1" x14ac:dyDescent="0.3">
      <c r="A78" s="23" t="s">
        <v>225</v>
      </c>
      <c r="B78" s="23" t="s">
        <v>52</v>
      </c>
      <c r="C78" s="23" t="s">
        <v>238</v>
      </c>
      <c r="D78" s="24">
        <v>46064</v>
      </c>
      <c r="E78" s="25">
        <v>1</v>
      </c>
      <c r="F78" s="24">
        <v>46064</v>
      </c>
      <c r="G78" s="23" t="s">
        <v>226</v>
      </c>
      <c r="H78" s="26"/>
      <c r="I78" s="24" t="str">
        <f t="shared" si="3"/>
        <v/>
      </c>
      <c r="J78" s="26" t="e">
        <f t="shared" ca="1" si="4"/>
        <v>#VALUE!</v>
      </c>
      <c r="K78" s="26" t="str">
        <f t="shared" ca="1" si="5"/>
        <v/>
      </c>
      <c r="L78" s="27" t="s">
        <v>1567</v>
      </c>
      <c r="M78" s="26" t="str">
        <f ca="1">IF(L78&lt;&gt;"","Entregado",IF(NOT(ISNUMBER(IF(Q78&lt;&gt;"",Q78,I78))),"REVISAR TE",IF(AND(ISNUMBER(Resumen!$B$3),IF(Q78&lt;&gt;"",Q78,I78)&lt;Resumen!$B$3),"REVISAR",IF(IF(Q78&lt;&gt;"",Q78,I78)&lt;TODAY(),"ATRASADO",IF(IF(Q78&lt;&gt;"",Q78,I78)-TODAY()&lt;=2,"POR VENCER","EN TIEMPO")))))</f>
        <v>Entregado</v>
      </c>
      <c r="N78" s="23" t="s">
        <v>165</v>
      </c>
      <c r="P78" s="23" t="s">
        <v>228</v>
      </c>
      <c r="Q78" s="28"/>
    </row>
    <row r="79" spans="1:17" ht="16.5" hidden="1" x14ac:dyDescent="0.3">
      <c r="A79" s="23" t="s">
        <v>225</v>
      </c>
      <c r="B79" s="23" t="s">
        <v>52</v>
      </c>
      <c r="C79" s="23" t="s">
        <v>239</v>
      </c>
      <c r="D79" s="24">
        <v>46064</v>
      </c>
      <c r="E79" s="25">
        <v>1</v>
      </c>
      <c r="F79" s="24">
        <v>46064</v>
      </c>
      <c r="G79" s="23" t="s">
        <v>226</v>
      </c>
      <c r="H79" s="26"/>
      <c r="I79" s="24" t="str">
        <f t="shared" si="3"/>
        <v/>
      </c>
      <c r="J79" s="26" t="e">
        <f t="shared" ca="1" si="4"/>
        <v>#VALUE!</v>
      </c>
      <c r="K79" s="26" t="str">
        <f t="shared" ca="1" si="5"/>
        <v/>
      </c>
      <c r="L79" s="27" t="s">
        <v>1567</v>
      </c>
      <c r="M79" s="26" t="str">
        <f ca="1">IF(L79&lt;&gt;"","Entregado",IF(NOT(ISNUMBER(IF(Q79&lt;&gt;"",Q79,I79))),"REVISAR TE",IF(AND(ISNUMBER(Resumen!$B$3),IF(Q79&lt;&gt;"",Q79,I79)&lt;Resumen!$B$3),"REVISAR",IF(IF(Q79&lt;&gt;"",Q79,I79)&lt;TODAY(),"ATRASADO",IF(IF(Q79&lt;&gt;"",Q79,I79)-TODAY()&lt;=2,"POR VENCER","EN TIEMPO")))))</f>
        <v>Entregado</v>
      </c>
      <c r="N79" s="23" t="s">
        <v>165</v>
      </c>
      <c r="P79" s="23" t="s">
        <v>228</v>
      </c>
      <c r="Q79" s="28"/>
    </row>
    <row r="80" spans="1:17" ht="16.5" hidden="1" x14ac:dyDescent="0.3">
      <c r="A80" s="23" t="s">
        <v>225</v>
      </c>
      <c r="B80" s="23" t="s">
        <v>52</v>
      </c>
      <c r="C80" s="23" t="s">
        <v>240</v>
      </c>
      <c r="D80" s="24">
        <v>46064</v>
      </c>
      <c r="E80" s="25">
        <v>1</v>
      </c>
      <c r="F80" s="24">
        <v>46064</v>
      </c>
      <c r="G80" s="23" t="s">
        <v>226</v>
      </c>
      <c r="H80" s="26"/>
      <c r="I80" s="24" t="str">
        <f t="shared" si="3"/>
        <v/>
      </c>
      <c r="J80" s="26" t="e">
        <f t="shared" ca="1" si="4"/>
        <v>#VALUE!</v>
      </c>
      <c r="K80" s="26" t="str">
        <f t="shared" ca="1" si="5"/>
        <v/>
      </c>
      <c r="L80" s="27" t="s">
        <v>1567</v>
      </c>
      <c r="M80" s="26" t="str">
        <f ca="1">IF(L80&lt;&gt;"","Entregado",IF(NOT(ISNUMBER(IF(Q80&lt;&gt;"",Q80,I80))),"REVISAR TE",IF(AND(ISNUMBER(Resumen!$B$3),IF(Q80&lt;&gt;"",Q80,I80)&lt;Resumen!$B$3),"REVISAR",IF(IF(Q80&lt;&gt;"",Q80,I80)&lt;TODAY(),"ATRASADO",IF(IF(Q80&lt;&gt;"",Q80,I80)-TODAY()&lt;=2,"POR VENCER","EN TIEMPO")))))</f>
        <v>Entregado</v>
      </c>
      <c r="N80" s="23" t="s">
        <v>165</v>
      </c>
      <c r="P80" s="23" t="s">
        <v>228</v>
      </c>
      <c r="Q80" s="28"/>
    </row>
    <row r="81" spans="1:17" ht="16.5" hidden="1" x14ac:dyDescent="0.3">
      <c r="A81" s="23" t="s">
        <v>225</v>
      </c>
      <c r="B81" s="23" t="s">
        <v>52</v>
      </c>
      <c r="C81" s="23" t="s">
        <v>241</v>
      </c>
      <c r="D81" s="24">
        <v>46064</v>
      </c>
      <c r="E81" s="25">
        <v>1</v>
      </c>
      <c r="F81" s="24">
        <v>46064</v>
      </c>
      <c r="G81" s="23" t="s">
        <v>226</v>
      </c>
      <c r="H81" s="26"/>
      <c r="I81" s="24" t="str">
        <f t="shared" si="3"/>
        <v/>
      </c>
      <c r="J81" s="26" t="e">
        <f t="shared" ca="1" si="4"/>
        <v>#VALUE!</v>
      </c>
      <c r="K81" s="26" t="str">
        <f t="shared" ca="1" si="5"/>
        <v/>
      </c>
      <c r="L81" s="27" t="s">
        <v>1567</v>
      </c>
      <c r="M81" s="26" t="str">
        <f ca="1">IF(L81&lt;&gt;"","Entregado",IF(NOT(ISNUMBER(IF(Q81&lt;&gt;"",Q81,I81))),"REVISAR TE",IF(AND(ISNUMBER(Resumen!$B$3),IF(Q81&lt;&gt;"",Q81,I81)&lt;Resumen!$B$3),"REVISAR",IF(IF(Q81&lt;&gt;"",Q81,I81)&lt;TODAY(),"ATRASADO",IF(IF(Q81&lt;&gt;"",Q81,I81)-TODAY()&lt;=2,"POR VENCER","EN TIEMPO")))))</f>
        <v>Entregado</v>
      </c>
      <c r="N81" s="23" t="s">
        <v>165</v>
      </c>
      <c r="P81" s="23" t="s">
        <v>228</v>
      </c>
      <c r="Q81" s="28"/>
    </row>
    <row r="82" spans="1:17" ht="16.5" hidden="1" x14ac:dyDescent="0.3">
      <c r="A82" s="23" t="s">
        <v>242</v>
      </c>
      <c r="B82" s="23" t="s">
        <v>55</v>
      </c>
      <c r="C82" s="23" t="s">
        <v>243</v>
      </c>
      <c r="D82" s="24">
        <v>46065</v>
      </c>
      <c r="E82" s="25">
        <v>65</v>
      </c>
      <c r="F82" s="24">
        <v>46065</v>
      </c>
      <c r="G82" s="23" t="s">
        <v>93</v>
      </c>
      <c r="H82" s="26">
        <v>28</v>
      </c>
      <c r="I82" s="24">
        <f t="shared" si="3"/>
        <v>46093</v>
      </c>
      <c r="J82" s="26">
        <f t="shared" ca="1" si="4"/>
        <v>-211</v>
      </c>
      <c r="K82" s="26" t="str">
        <f t="shared" ca="1" si="5"/>
        <v/>
      </c>
      <c r="L82" s="27" t="s">
        <v>1567</v>
      </c>
      <c r="M82" s="26" t="str">
        <f ca="1">IF(L82&lt;&gt;"","Entregado",IF(NOT(ISNUMBER(IF(Q82&lt;&gt;"",Q82,I82))),"REVISAR TE",IF(AND(ISNUMBER(Resumen!$B$3),IF(Q82&lt;&gt;"",Q82,I82)&lt;Resumen!$B$3),"REVISAR",IF(IF(Q82&lt;&gt;"",Q82,I82)&lt;TODAY(),"ATRASADO",IF(IF(Q82&lt;&gt;"",Q82,I82)-TODAY()&lt;=2,"POR VENCER","EN TIEMPO")))))</f>
        <v>Entregado</v>
      </c>
      <c r="N82" s="23" t="s">
        <v>98</v>
      </c>
      <c r="P82" s="23" t="s">
        <v>244</v>
      </c>
      <c r="Q82" s="28"/>
    </row>
    <row r="83" spans="1:17" ht="16.5" hidden="1" x14ac:dyDescent="0.3">
      <c r="A83" s="23" t="s">
        <v>242</v>
      </c>
      <c r="B83" s="23" t="s">
        <v>55</v>
      </c>
      <c r="C83" s="23" t="s">
        <v>246</v>
      </c>
      <c r="D83" s="24">
        <v>46065</v>
      </c>
      <c r="E83" s="25">
        <v>1</v>
      </c>
      <c r="F83" s="24">
        <v>46065</v>
      </c>
      <c r="G83" s="23" t="s">
        <v>93</v>
      </c>
      <c r="H83" s="26">
        <v>28</v>
      </c>
      <c r="I83" s="24">
        <f t="shared" si="3"/>
        <v>46093</v>
      </c>
      <c r="J83" s="26">
        <f t="shared" ca="1" si="4"/>
        <v>-211</v>
      </c>
      <c r="K83" s="26" t="str">
        <f t="shared" ca="1" si="5"/>
        <v/>
      </c>
      <c r="L83" s="27" t="s">
        <v>1567</v>
      </c>
      <c r="M83" s="26" t="str">
        <f ca="1">IF(L83&lt;&gt;"","Entregado",IF(NOT(ISNUMBER(IF(Q83&lt;&gt;"",Q83,I83))),"REVISAR TE",IF(AND(ISNUMBER(Resumen!$B$3),IF(Q83&lt;&gt;"",Q83,I83)&lt;Resumen!$B$3),"REVISAR",IF(IF(Q83&lt;&gt;"",Q83,I83)&lt;TODAY(),"ATRASADO",IF(IF(Q83&lt;&gt;"",Q83,I83)-TODAY()&lt;=2,"POR VENCER","EN TIEMPO")))))</f>
        <v>Entregado</v>
      </c>
      <c r="N83" s="23" t="s">
        <v>245</v>
      </c>
      <c r="P83" s="23" t="s">
        <v>244</v>
      </c>
      <c r="Q83" s="28"/>
    </row>
    <row r="84" spans="1:17" ht="16.5" hidden="1" x14ac:dyDescent="0.3">
      <c r="A84" s="23" t="s">
        <v>247</v>
      </c>
      <c r="B84" s="23" t="s">
        <v>52</v>
      </c>
      <c r="C84" s="23" t="s">
        <v>248</v>
      </c>
      <c r="D84" s="24">
        <v>46069</v>
      </c>
      <c r="E84" s="25">
        <v>2</v>
      </c>
      <c r="F84" s="24">
        <v>46069</v>
      </c>
      <c r="G84" s="23" t="s">
        <v>196</v>
      </c>
      <c r="H84" s="26">
        <v>10</v>
      </c>
      <c r="I84" s="24">
        <f t="shared" si="3"/>
        <v>46079</v>
      </c>
      <c r="J84" s="26">
        <f t="shared" ca="1" si="4"/>
        <v>-225</v>
      </c>
      <c r="K84" s="26" t="str">
        <f t="shared" ca="1" si="5"/>
        <v/>
      </c>
      <c r="L84" s="27" t="s">
        <v>1567</v>
      </c>
      <c r="M84" s="26" t="str">
        <f ca="1">IF(L84&lt;&gt;"","Entregado",IF(NOT(ISNUMBER(IF(Q84&lt;&gt;"",Q84,I84))),"REVISAR TE",IF(AND(ISNUMBER(Resumen!$B$3),IF(Q84&lt;&gt;"",Q84,I84)&lt;Resumen!$B$3),"REVISAR",IF(IF(Q84&lt;&gt;"",Q84,I84)&lt;TODAY(),"ATRASADO",IF(IF(Q84&lt;&gt;"",Q84,I84)-TODAY()&lt;=2,"POR VENCER","EN TIEMPO")))))</f>
        <v>Entregado</v>
      </c>
      <c r="N84" s="23" t="s">
        <v>94</v>
      </c>
      <c r="P84" s="23" t="s">
        <v>249</v>
      </c>
      <c r="Q84" s="28"/>
    </row>
    <row r="85" spans="1:17" ht="16.5" hidden="1" x14ac:dyDescent="0.3">
      <c r="A85" s="23" t="s">
        <v>247</v>
      </c>
      <c r="B85" s="23" t="s">
        <v>52</v>
      </c>
      <c r="C85" s="23" t="s">
        <v>250</v>
      </c>
      <c r="D85" s="24">
        <v>46069</v>
      </c>
      <c r="E85" s="25">
        <v>2</v>
      </c>
      <c r="F85" s="24">
        <v>46069</v>
      </c>
      <c r="G85" s="23" t="s">
        <v>196</v>
      </c>
      <c r="H85" s="26">
        <v>10</v>
      </c>
      <c r="I85" s="24">
        <f t="shared" si="3"/>
        <v>46079</v>
      </c>
      <c r="J85" s="26">
        <f t="shared" ca="1" si="4"/>
        <v>-225</v>
      </c>
      <c r="K85" s="26" t="str">
        <f t="shared" ca="1" si="5"/>
        <v/>
      </c>
      <c r="L85" s="27" t="s">
        <v>1567</v>
      </c>
      <c r="M85" s="26" t="str">
        <f ca="1">IF(L85&lt;&gt;"","Entregado",IF(NOT(ISNUMBER(IF(Q85&lt;&gt;"",Q85,I85))),"REVISAR TE",IF(AND(ISNUMBER(Resumen!$B$3),IF(Q85&lt;&gt;"",Q85,I85)&lt;Resumen!$B$3),"REVISAR",IF(IF(Q85&lt;&gt;"",Q85,I85)&lt;TODAY(),"ATRASADO",IF(IF(Q85&lt;&gt;"",Q85,I85)-TODAY()&lt;=2,"POR VENCER","EN TIEMPO")))))</f>
        <v>Entregado</v>
      </c>
      <c r="N85" s="23" t="s">
        <v>94</v>
      </c>
      <c r="P85" s="23" t="s">
        <v>249</v>
      </c>
      <c r="Q85" s="28"/>
    </row>
    <row r="86" spans="1:17" ht="16.5" hidden="1" x14ac:dyDescent="0.3">
      <c r="A86" s="23" t="s">
        <v>251</v>
      </c>
      <c r="B86" s="23" t="s">
        <v>54</v>
      </c>
      <c r="C86" s="23" t="s">
        <v>253</v>
      </c>
      <c r="D86" s="24">
        <v>46071</v>
      </c>
      <c r="E86" s="25">
        <v>2</v>
      </c>
      <c r="F86" s="24">
        <v>46071</v>
      </c>
      <c r="G86" s="23" t="s">
        <v>252</v>
      </c>
      <c r="H86" s="26">
        <v>49</v>
      </c>
      <c r="I86" s="24">
        <f t="shared" si="3"/>
        <v>46120</v>
      </c>
      <c r="J86" s="26">
        <f t="shared" ca="1" si="4"/>
        <v>-184</v>
      </c>
      <c r="K86" s="26" t="str">
        <f t="shared" ca="1" si="5"/>
        <v/>
      </c>
      <c r="L86" s="27" t="s">
        <v>1567</v>
      </c>
      <c r="M86" s="26" t="str">
        <f ca="1">IF(L86&lt;&gt;"","Entregado",IF(NOT(ISNUMBER(IF(Q86&lt;&gt;"",Q86,I86))),"REVISAR TE",IF(AND(ISNUMBER(Resumen!$B$3),IF(Q86&lt;&gt;"",Q86,I86)&lt;Resumen!$B$3),"REVISAR",IF(IF(Q86&lt;&gt;"",Q86,I86)&lt;TODAY(),"ATRASADO",IF(IF(Q86&lt;&gt;"",Q86,I86)-TODAY()&lt;=2,"POR VENCER","EN TIEMPO")))))</f>
        <v>Entregado</v>
      </c>
      <c r="N86" s="23" t="s">
        <v>94</v>
      </c>
      <c r="P86" s="23" t="s">
        <v>254</v>
      </c>
      <c r="Q86" s="28"/>
    </row>
    <row r="87" spans="1:17" ht="16.5" hidden="1" x14ac:dyDescent="0.3">
      <c r="A87" s="23" t="s">
        <v>251</v>
      </c>
      <c r="B87" s="23" t="s">
        <v>54</v>
      </c>
      <c r="C87" s="23" t="s">
        <v>255</v>
      </c>
      <c r="D87" s="24">
        <v>46071</v>
      </c>
      <c r="E87" s="25">
        <v>2</v>
      </c>
      <c r="F87" s="24">
        <v>46071</v>
      </c>
      <c r="G87" s="23" t="s">
        <v>252</v>
      </c>
      <c r="H87" s="26">
        <v>49</v>
      </c>
      <c r="I87" s="24">
        <f t="shared" si="3"/>
        <v>46120</v>
      </c>
      <c r="J87" s="26">
        <f t="shared" ca="1" si="4"/>
        <v>-184</v>
      </c>
      <c r="K87" s="26" t="str">
        <f t="shared" ca="1" si="5"/>
        <v/>
      </c>
      <c r="L87" s="27" t="s">
        <v>1567</v>
      </c>
      <c r="M87" s="26" t="str">
        <f ca="1">IF(L87&lt;&gt;"","Entregado",IF(NOT(ISNUMBER(IF(Q87&lt;&gt;"",Q87,I87))),"REVISAR TE",IF(AND(ISNUMBER(Resumen!$B$3),IF(Q87&lt;&gt;"",Q87,I87)&lt;Resumen!$B$3),"REVISAR",IF(IF(Q87&lt;&gt;"",Q87,I87)&lt;TODAY(),"ATRASADO",IF(IF(Q87&lt;&gt;"",Q87,I87)-TODAY()&lt;=2,"POR VENCER","EN TIEMPO")))))</f>
        <v>Entregado</v>
      </c>
      <c r="N87" s="23" t="s">
        <v>94</v>
      </c>
      <c r="P87" s="23" t="s">
        <v>254</v>
      </c>
      <c r="Q87" s="28"/>
    </row>
    <row r="88" spans="1:17" ht="16.5" hidden="1" x14ac:dyDescent="0.3">
      <c r="A88" s="23" t="s">
        <v>251</v>
      </c>
      <c r="B88" s="23" t="s">
        <v>54</v>
      </c>
      <c r="C88" s="23" t="s">
        <v>256</v>
      </c>
      <c r="D88" s="24">
        <v>46071</v>
      </c>
      <c r="E88" s="25">
        <v>2</v>
      </c>
      <c r="F88" s="24">
        <v>46071</v>
      </c>
      <c r="G88" s="23" t="s">
        <v>252</v>
      </c>
      <c r="H88" s="26">
        <v>49</v>
      </c>
      <c r="I88" s="24">
        <f t="shared" si="3"/>
        <v>46120</v>
      </c>
      <c r="J88" s="26">
        <f t="shared" ca="1" si="4"/>
        <v>-184</v>
      </c>
      <c r="K88" s="26" t="str">
        <f t="shared" ca="1" si="5"/>
        <v/>
      </c>
      <c r="L88" s="27" t="s">
        <v>1567</v>
      </c>
      <c r="M88" s="26" t="str">
        <f ca="1">IF(L88&lt;&gt;"","Entregado",IF(NOT(ISNUMBER(IF(Q88&lt;&gt;"",Q88,I88))),"REVISAR TE",IF(AND(ISNUMBER(Resumen!$B$3),IF(Q88&lt;&gt;"",Q88,I88)&lt;Resumen!$B$3),"REVISAR",IF(IF(Q88&lt;&gt;"",Q88,I88)&lt;TODAY(),"ATRASADO",IF(IF(Q88&lt;&gt;"",Q88,I88)-TODAY()&lt;=2,"POR VENCER","EN TIEMPO")))))</f>
        <v>Entregado</v>
      </c>
      <c r="N88" s="23" t="s">
        <v>94</v>
      </c>
      <c r="P88" s="23" t="s">
        <v>254</v>
      </c>
      <c r="Q88" s="28"/>
    </row>
    <row r="89" spans="1:17" ht="16.5" hidden="1" x14ac:dyDescent="0.3">
      <c r="A89" s="23" t="s">
        <v>251</v>
      </c>
      <c r="B89" s="23" t="s">
        <v>54</v>
      </c>
      <c r="C89" s="23" t="s">
        <v>257</v>
      </c>
      <c r="D89" s="24">
        <v>46071</v>
      </c>
      <c r="E89" s="25">
        <v>2</v>
      </c>
      <c r="F89" s="24">
        <v>46071</v>
      </c>
      <c r="G89" s="23" t="s">
        <v>252</v>
      </c>
      <c r="H89" s="26">
        <v>49</v>
      </c>
      <c r="I89" s="24">
        <f t="shared" si="3"/>
        <v>46120</v>
      </c>
      <c r="J89" s="26">
        <f t="shared" ca="1" si="4"/>
        <v>-184</v>
      </c>
      <c r="K89" s="26" t="str">
        <f t="shared" ca="1" si="5"/>
        <v/>
      </c>
      <c r="L89" s="27" t="s">
        <v>1567</v>
      </c>
      <c r="M89" s="26" t="str">
        <f ca="1">IF(L89&lt;&gt;"","Entregado",IF(NOT(ISNUMBER(IF(Q89&lt;&gt;"",Q89,I89))),"REVISAR TE",IF(AND(ISNUMBER(Resumen!$B$3),IF(Q89&lt;&gt;"",Q89,I89)&lt;Resumen!$B$3),"REVISAR",IF(IF(Q89&lt;&gt;"",Q89,I89)&lt;TODAY(),"ATRASADO",IF(IF(Q89&lt;&gt;"",Q89,I89)-TODAY()&lt;=2,"POR VENCER","EN TIEMPO")))))</f>
        <v>Entregado</v>
      </c>
      <c r="N89" s="23" t="s">
        <v>94</v>
      </c>
      <c r="P89" s="23" t="s">
        <v>254</v>
      </c>
      <c r="Q89" s="28"/>
    </row>
    <row r="90" spans="1:17" ht="16.5" hidden="1" x14ac:dyDescent="0.3">
      <c r="A90" s="23" t="s">
        <v>258</v>
      </c>
      <c r="B90" s="23" t="s">
        <v>55</v>
      </c>
      <c r="C90" s="23" t="s">
        <v>260</v>
      </c>
      <c r="D90" s="24">
        <v>46072</v>
      </c>
      <c r="E90" s="25">
        <v>4</v>
      </c>
      <c r="F90" s="24">
        <v>46072</v>
      </c>
      <c r="G90" s="23" t="s">
        <v>259</v>
      </c>
      <c r="H90" s="26">
        <v>21</v>
      </c>
      <c r="I90" s="24">
        <f t="shared" si="3"/>
        <v>46093</v>
      </c>
      <c r="J90" s="26">
        <f t="shared" ca="1" si="4"/>
        <v>-211</v>
      </c>
      <c r="K90" s="26" t="str">
        <f t="shared" ca="1" si="5"/>
        <v/>
      </c>
      <c r="L90" s="27" t="s">
        <v>1567</v>
      </c>
      <c r="M90" s="26" t="str">
        <f ca="1">IF(L90&lt;&gt;"","Entregado",IF(NOT(ISNUMBER(IF(Q90&lt;&gt;"",Q90,I90))),"REVISAR TE",IF(AND(ISNUMBER(Resumen!$B$3),IF(Q90&lt;&gt;"",Q90,I90)&lt;Resumen!$B$3),"REVISAR",IF(IF(Q90&lt;&gt;"",Q90,I90)&lt;TODAY(),"ATRASADO",IF(IF(Q90&lt;&gt;"",Q90,I90)-TODAY()&lt;=2,"POR VENCER","EN TIEMPO")))))</f>
        <v>Entregado</v>
      </c>
      <c r="N90" s="23" t="s">
        <v>98</v>
      </c>
      <c r="P90" s="23" t="s">
        <v>261</v>
      </c>
      <c r="Q90" s="28"/>
    </row>
    <row r="91" spans="1:17" ht="16.5" hidden="1" x14ac:dyDescent="0.3">
      <c r="A91" s="23" t="s">
        <v>258</v>
      </c>
      <c r="B91" s="23" t="s">
        <v>55</v>
      </c>
      <c r="C91" s="23" t="s">
        <v>262</v>
      </c>
      <c r="D91" s="24">
        <v>46072</v>
      </c>
      <c r="E91" s="25">
        <v>1</v>
      </c>
      <c r="F91" s="24">
        <v>46072</v>
      </c>
      <c r="G91" s="23" t="s">
        <v>259</v>
      </c>
      <c r="H91" s="26">
        <v>21</v>
      </c>
      <c r="I91" s="24">
        <f t="shared" si="3"/>
        <v>46093</v>
      </c>
      <c r="J91" s="26">
        <f t="shared" ca="1" si="4"/>
        <v>-211</v>
      </c>
      <c r="K91" s="26" t="str">
        <f t="shared" ca="1" si="5"/>
        <v/>
      </c>
      <c r="L91" s="27" t="s">
        <v>1567</v>
      </c>
      <c r="M91" s="26" t="str">
        <f ca="1">IF(L91&lt;&gt;"","Entregado",IF(NOT(ISNUMBER(IF(Q91&lt;&gt;"",Q91,I91))),"REVISAR TE",IF(AND(ISNUMBER(Resumen!$B$3),IF(Q91&lt;&gt;"",Q91,I91)&lt;Resumen!$B$3),"REVISAR",IF(IF(Q91&lt;&gt;"",Q91,I91)&lt;TODAY(),"ATRASADO",IF(IF(Q91&lt;&gt;"",Q91,I91)-TODAY()&lt;=2,"POR VENCER","EN TIEMPO")))))</f>
        <v>Entregado</v>
      </c>
      <c r="N91" s="23" t="s">
        <v>245</v>
      </c>
      <c r="P91" s="23" t="s">
        <v>261</v>
      </c>
      <c r="Q91" s="28"/>
    </row>
    <row r="92" spans="1:17" ht="16.5" hidden="1" x14ac:dyDescent="0.3">
      <c r="A92" s="23" t="s">
        <v>258</v>
      </c>
      <c r="B92" s="23" t="s">
        <v>55</v>
      </c>
      <c r="C92" s="23" t="s">
        <v>263</v>
      </c>
      <c r="D92" s="24">
        <v>46072</v>
      </c>
      <c r="E92" s="25">
        <v>1</v>
      </c>
      <c r="F92" s="24">
        <v>46072</v>
      </c>
      <c r="G92" s="23" t="s">
        <v>259</v>
      </c>
      <c r="H92" s="26">
        <v>21</v>
      </c>
      <c r="I92" s="24">
        <f t="shared" si="3"/>
        <v>46093</v>
      </c>
      <c r="J92" s="26">
        <f t="shared" ca="1" si="4"/>
        <v>-211</v>
      </c>
      <c r="K92" s="26" t="str">
        <f t="shared" ca="1" si="5"/>
        <v/>
      </c>
      <c r="L92" s="27" t="s">
        <v>1567</v>
      </c>
      <c r="M92" s="26" t="str">
        <f ca="1">IF(L92&lt;&gt;"","Entregado",IF(NOT(ISNUMBER(IF(Q92&lt;&gt;"",Q92,I92))),"REVISAR TE",IF(AND(ISNUMBER(Resumen!$B$3),IF(Q92&lt;&gt;"",Q92,I92)&lt;Resumen!$B$3),"REVISAR",IF(IF(Q92&lt;&gt;"",Q92,I92)&lt;TODAY(),"ATRASADO",IF(IF(Q92&lt;&gt;"",Q92,I92)-TODAY()&lt;=2,"POR VENCER","EN TIEMPO")))))</f>
        <v>Entregado</v>
      </c>
      <c r="N92" s="23" t="s">
        <v>245</v>
      </c>
      <c r="P92" s="23" t="s">
        <v>261</v>
      </c>
      <c r="Q92" s="28"/>
    </row>
    <row r="93" spans="1:17" ht="16.5" hidden="1" x14ac:dyDescent="0.3">
      <c r="A93" s="23" t="s">
        <v>264</v>
      </c>
      <c r="B93" s="23" t="s">
        <v>52</v>
      </c>
      <c r="C93" s="23" t="s">
        <v>265</v>
      </c>
      <c r="D93" s="24">
        <v>46072</v>
      </c>
      <c r="E93" s="25">
        <v>1</v>
      </c>
      <c r="F93" s="24">
        <v>46072</v>
      </c>
      <c r="G93" s="23" t="s">
        <v>171</v>
      </c>
      <c r="H93" s="26">
        <v>7</v>
      </c>
      <c r="I93" s="24">
        <f t="shared" si="3"/>
        <v>46079</v>
      </c>
      <c r="J93" s="26">
        <f t="shared" ca="1" si="4"/>
        <v>-225</v>
      </c>
      <c r="K93" s="26" t="str">
        <f t="shared" ca="1" si="5"/>
        <v/>
      </c>
      <c r="L93" s="27" t="s">
        <v>1567</v>
      </c>
      <c r="M93" s="26" t="str">
        <f ca="1">IF(L93&lt;&gt;"","Entregado",IF(NOT(ISNUMBER(IF(Q93&lt;&gt;"",Q93,I93))),"REVISAR TE",IF(AND(ISNUMBER(Resumen!$B$3),IF(Q93&lt;&gt;"",Q93,I93)&lt;Resumen!$B$3),"REVISAR",IF(IF(Q93&lt;&gt;"",Q93,I93)&lt;TODAY(),"ATRASADO",IF(IF(Q93&lt;&gt;"",Q93,I93)-TODAY()&lt;=2,"POR VENCER","EN TIEMPO")))))</f>
        <v>Entregado</v>
      </c>
      <c r="N93" s="23" t="s">
        <v>197</v>
      </c>
      <c r="P93" s="23" t="s">
        <v>266</v>
      </c>
      <c r="Q93" s="28"/>
    </row>
    <row r="94" spans="1:17" ht="16.5" hidden="1" x14ac:dyDescent="0.3">
      <c r="A94" s="23" t="s">
        <v>264</v>
      </c>
      <c r="B94" s="23" t="s">
        <v>52</v>
      </c>
      <c r="C94" s="23" t="s">
        <v>267</v>
      </c>
      <c r="D94" s="24">
        <v>46072</v>
      </c>
      <c r="E94" s="25">
        <v>1</v>
      </c>
      <c r="F94" s="24">
        <v>46072</v>
      </c>
      <c r="G94" s="23" t="s">
        <v>171</v>
      </c>
      <c r="H94" s="26">
        <v>7</v>
      </c>
      <c r="I94" s="24">
        <f t="shared" si="3"/>
        <v>46079</v>
      </c>
      <c r="J94" s="26">
        <f t="shared" ca="1" si="4"/>
        <v>-225</v>
      </c>
      <c r="K94" s="26" t="str">
        <f t="shared" ca="1" si="5"/>
        <v/>
      </c>
      <c r="L94" s="27" t="s">
        <v>1567</v>
      </c>
      <c r="M94" s="26" t="str">
        <f ca="1">IF(L94&lt;&gt;"","Entregado",IF(NOT(ISNUMBER(IF(Q94&lt;&gt;"",Q94,I94))),"REVISAR TE",IF(AND(ISNUMBER(Resumen!$B$3),IF(Q94&lt;&gt;"",Q94,I94)&lt;Resumen!$B$3),"REVISAR",IF(IF(Q94&lt;&gt;"",Q94,I94)&lt;TODAY(),"ATRASADO",IF(IF(Q94&lt;&gt;"",Q94,I94)-TODAY()&lt;=2,"POR VENCER","EN TIEMPO")))))</f>
        <v>Entregado</v>
      </c>
      <c r="N94" s="23" t="s">
        <v>197</v>
      </c>
      <c r="P94" s="23" t="s">
        <v>266</v>
      </c>
      <c r="Q94" s="28"/>
    </row>
    <row r="95" spans="1:17" ht="16.5" hidden="1" x14ac:dyDescent="0.3">
      <c r="A95" s="23" t="s">
        <v>264</v>
      </c>
      <c r="B95" s="23" t="s">
        <v>52</v>
      </c>
      <c r="C95" s="23" t="s">
        <v>268</v>
      </c>
      <c r="D95" s="24">
        <v>46072</v>
      </c>
      <c r="E95" s="25">
        <v>7</v>
      </c>
      <c r="F95" s="24">
        <v>46072</v>
      </c>
      <c r="G95" s="23" t="s">
        <v>171</v>
      </c>
      <c r="H95" s="26">
        <v>7</v>
      </c>
      <c r="I95" s="24">
        <f t="shared" si="3"/>
        <v>46079</v>
      </c>
      <c r="J95" s="26">
        <f t="shared" ca="1" si="4"/>
        <v>-225</v>
      </c>
      <c r="K95" s="26" t="str">
        <f t="shared" ca="1" si="5"/>
        <v/>
      </c>
      <c r="L95" s="27" t="s">
        <v>1567</v>
      </c>
      <c r="M95" s="26" t="str">
        <f ca="1">IF(L95&lt;&gt;"","Entregado",IF(NOT(ISNUMBER(IF(Q95&lt;&gt;"",Q95,I95))),"REVISAR TE",IF(AND(ISNUMBER(Resumen!$B$3),IF(Q95&lt;&gt;"",Q95,I95)&lt;Resumen!$B$3),"REVISAR",IF(IF(Q95&lt;&gt;"",Q95,I95)&lt;TODAY(),"ATRASADO",IF(IF(Q95&lt;&gt;"",Q95,I95)-TODAY()&lt;=2,"POR VENCER","EN TIEMPO")))))</f>
        <v>Entregado</v>
      </c>
      <c r="N95" s="23" t="s">
        <v>197</v>
      </c>
      <c r="P95" s="23" t="s">
        <v>266</v>
      </c>
      <c r="Q95" s="28"/>
    </row>
    <row r="96" spans="1:17" ht="16.5" hidden="1" x14ac:dyDescent="0.3">
      <c r="A96" s="23" t="s">
        <v>269</v>
      </c>
      <c r="B96" s="23" t="s">
        <v>54</v>
      </c>
      <c r="C96" s="23" t="s">
        <v>270</v>
      </c>
      <c r="D96" s="24">
        <v>46072</v>
      </c>
      <c r="E96" s="25">
        <v>4</v>
      </c>
      <c r="F96" s="24">
        <v>46072</v>
      </c>
      <c r="G96" s="23" t="s">
        <v>132</v>
      </c>
      <c r="H96" s="26">
        <v>42</v>
      </c>
      <c r="I96" s="24">
        <f t="shared" si="3"/>
        <v>46114</v>
      </c>
      <c r="J96" s="26">
        <f t="shared" ca="1" si="4"/>
        <v>-190</v>
      </c>
      <c r="K96" s="26" t="str">
        <f t="shared" ca="1" si="5"/>
        <v/>
      </c>
      <c r="L96" s="27" t="s">
        <v>1567</v>
      </c>
      <c r="M96" s="26" t="str">
        <f ca="1">IF(L96&lt;&gt;"","Entregado",IF(NOT(ISNUMBER(IF(Q96&lt;&gt;"",Q96,I96))),"REVISAR TE",IF(AND(ISNUMBER(Resumen!$B$3),IF(Q96&lt;&gt;"",Q96,I96)&lt;Resumen!$B$3),"REVISAR",IF(IF(Q96&lt;&gt;"",Q96,I96)&lt;TODAY(),"ATRASADO",IF(IF(Q96&lt;&gt;"",Q96,I96)-TODAY()&lt;=2,"POR VENCER","EN TIEMPO")))))</f>
        <v>Entregado</v>
      </c>
      <c r="N96" s="23" t="s">
        <v>98</v>
      </c>
      <c r="P96" s="23" t="s">
        <v>271</v>
      </c>
      <c r="Q96" s="28"/>
    </row>
    <row r="97" spans="1:17" ht="16.5" hidden="1" x14ac:dyDescent="0.3">
      <c r="A97" s="23" t="s">
        <v>269</v>
      </c>
      <c r="B97" s="23" t="s">
        <v>54</v>
      </c>
      <c r="C97" s="23" t="s">
        <v>272</v>
      </c>
      <c r="D97" s="24">
        <v>46072</v>
      </c>
      <c r="E97" s="25">
        <v>4</v>
      </c>
      <c r="F97" s="24">
        <v>46072</v>
      </c>
      <c r="G97" s="23" t="s">
        <v>132</v>
      </c>
      <c r="H97" s="26">
        <v>42</v>
      </c>
      <c r="I97" s="24">
        <f t="shared" si="3"/>
        <v>46114</v>
      </c>
      <c r="J97" s="26">
        <f t="shared" ca="1" si="4"/>
        <v>-190</v>
      </c>
      <c r="K97" s="26" t="str">
        <f t="shared" ca="1" si="5"/>
        <v/>
      </c>
      <c r="L97" s="27" t="s">
        <v>1567</v>
      </c>
      <c r="M97" s="26" t="str">
        <f ca="1">IF(L97&lt;&gt;"","Entregado",IF(NOT(ISNUMBER(IF(Q97&lt;&gt;"",Q97,I97))),"REVISAR TE",IF(AND(ISNUMBER(Resumen!$B$3),IF(Q97&lt;&gt;"",Q97,I97)&lt;Resumen!$B$3),"REVISAR",IF(IF(Q97&lt;&gt;"",Q97,I97)&lt;TODAY(),"ATRASADO",IF(IF(Q97&lt;&gt;"",Q97,I97)-TODAY()&lt;=2,"POR VENCER","EN TIEMPO")))))</f>
        <v>Entregado</v>
      </c>
      <c r="N97" s="23" t="s">
        <v>98</v>
      </c>
      <c r="P97" s="23" t="s">
        <v>271</v>
      </c>
      <c r="Q97" s="28"/>
    </row>
    <row r="98" spans="1:17" ht="16.5" hidden="1" x14ac:dyDescent="0.3">
      <c r="A98" s="23" t="s">
        <v>273</v>
      </c>
      <c r="B98" s="23" t="s">
        <v>54</v>
      </c>
      <c r="C98" s="23" t="s">
        <v>181</v>
      </c>
      <c r="D98" s="24">
        <v>46072</v>
      </c>
      <c r="E98" s="25">
        <v>4</v>
      </c>
      <c r="F98" s="24">
        <v>46072</v>
      </c>
      <c r="G98" s="23" t="s">
        <v>274</v>
      </c>
      <c r="H98" s="26">
        <v>42</v>
      </c>
      <c r="I98" s="24">
        <f t="shared" si="3"/>
        <v>46114</v>
      </c>
      <c r="J98" s="26">
        <f t="shared" ca="1" si="4"/>
        <v>-190</v>
      </c>
      <c r="K98" s="26" t="str">
        <f t="shared" ca="1" si="5"/>
        <v/>
      </c>
      <c r="L98" s="27" t="s">
        <v>1567</v>
      </c>
      <c r="M98" s="26" t="str">
        <f ca="1">IF(L98&lt;&gt;"","Entregado",IF(NOT(ISNUMBER(IF(Q98&lt;&gt;"",Q98,I98))),"REVISAR TE",IF(AND(ISNUMBER(Resumen!$B$3),IF(Q98&lt;&gt;"",Q98,I98)&lt;Resumen!$B$3),"REVISAR",IF(IF(Q98&lt;&gt;"",Q98,I98)&lt;TODAY(),"ATRASADO",IF(IF(Q98&lt;&gt;"",Q98,I98)-TODAY()&lt;=2,"POR VENCER","EN TIEMPO")))))</f>
        <v>Entregado</v>
      </c>
      <c r="N98" s="23" t="s">
        <v>98</v>
      </c>
      <c r="P98" s="23" t="s">
        <v>275</v>
      </c>
      <c r="Q98" s="28"/>
    </row>
    <row r="99" spans="1:17" ht="16.5" hidden="1" x14ac:dyDescent="0.3">
      <c r="A99" s="23" t="s">
        <v>273</v>
      </c>
      <c r="B99" s="23" t="s">
        <v>54</v>
      </c>
      <c r="C99" s="23" t="s">
        <v>276</v>
      </c>
      <c r="D99" s="24">
        <v>46072</v>
      </c>
      <c r="E99" s="25">
        <v>4</v>
      </c>
      <c r="F99" s="24">
        <v>46072</v>
      </c>
      <c r="G99" s="23" t="s">
        <v>274</v>
      </c>
      <c r="H99" s="26">
        <v>42</v>
      </c>
      <c r="I99" s="24">
        <f t="shared" si="3"/>
        <v>46114</v>
      </c>
      <c r="J99" s="26">
        <f t="shared" ca="1" si="4"/>
        <v>-190</v>
      </c>
      <c r="K99" s="26" t="str">
        <f t="shared" ca="1" si="5"/>
        <v/>
      </c>
      <c r="L99" s="27" t="s">
        <v>1567</v>
      </c>
      <c r="M99" s="26" t="str">
        <f ca="1">IF(L99&lt;&gt;"","Entregado",IF(NOT(ISNUMBER(IF(Q99&lt;&gt;"",Q99,I99))),"REVISAR TE",IF(AND(ISNUMBER(Resumen!$B$3),IF(Q99&lt;&gt;"",Q99,I99)&lt;Resumen!$B$3),"REVISAR",IF(IF(Q99&lt;&gt;"",Q99,I99)&lt;TODAY(),"ATRASADO",IF(IF(Q99&lt;&gt;"",Q99,I99)-TODAY()&lt;=2,"POR VENCER","EN TIEMPO")))))</f>
        <v>Entregado</v>
      </c>
      <c r="N99" s="23" t="s">
        <v>98</v>
      </c>
      <c r="P99" s="23" t="s">
        <v>275</v>
      </c>
      <c r="Q99" s="28"/>
    </row>
    <row r="100" spans="1:17" ht="16.5" hidden="1" x14ac:dyDescent="0.3">
      <c r="A100" s="23" t="s">
        <v>277</v>
      </c>
      <c r="B100" s="23" t="s">
        <v>54</v>
      </c>
      <c r="C100" s="23" t="s">
        <v>278</v>
      </c>
      <c r="D100" s="24">
        <v>46073</v>
      </c>
      <c r="E100" s="25">
        <v>48</v>
      </c>
      <c r="F100" s="24">
        <v>46073</v>
      </c>
      <c r="G100" s="23" t="s">
        <v>204</v>
      </c>
      <c r="H100" s="26">
        <v>42</v>
      </c>
      <c r="I100" s="24">
        <f t="shared" si="3"/>
        <v>46115</v>
      </c>
      <c r="J100" s="26">
        <f t="shared" ca="1" si="4"/>
        <v>-189</v>
      </c>
      <c r="K100" s="26" t="str">
        <f t="shared" ca="1" si="5"/>
        <v/>
      </c>
      <c r="L100" s="27" t="s">
        <v>1567</v>
      </c>
      <c r="M100" s="26" t="str">
        <f ca="1">IF(L100&lt;&gt;"","Entregado",IF(NOT(ISNUMBER(IF(Q100&lt;&gt;"",Q100,I100))),"REVISAR TE",IF(AND(ISNUMBER(Resumen!$B$3),IF(Q100&lt;&gt;"",Q100,I100)&lt;Resumen!$B$3),"REVISAR",IF(IF(Q100&lt;&gt;"",Q100,I100)&lt;TODAY(),"ATRASADO",IF(IF(Q100&lt;&gt;"",Q100,I100)-TODAY()&lt;=2,"POR VENCER","EN TIEMPO")))))</f>
        <v>Entregado</v>
      </c>
      <c r="N100" s="23" t="s">
        <v>94</v>
      </c>
      <c r="P100" s="23" t="s">
        <v>279</v>
      </c>
      <c r="Q100" s="28"/>
    </row>
    <row r="101" spans="1:17" ht="16.5" hidden="1" x14ac:dyDescent="0.3">
      <c r="A101" s="23" t="s">
        <v>280</v>
      </c>
      <c r="B101" s="23" t="s">
        <v>58</v>
      </c>
      <c r="C101" s="23" t="s">
        <v>282</v>
      </c>
      <c r="D101" s="24">
        <v>46073</v>
      </c>
      <c r="E101" s="25">
        <v>41</v>
      </c>
      <c r="F101" s="24">
        <v>46073</v>
      </c>
      <c r="G101" s="23" t="s">
        <v>281</v>
      </c>
      <c r="H101" s="26">
        <v>42</v>
      </c>
      <c r="I101" s="24">
        <f t="shared" si="3"/>
        <v>46115</v>
      </c>
      <c r="J101" s="26">
        <f t="shared" ca="1" si="4"/>
        <v>-189</v>
      </c>
      <c r="K101" s="26" t="str">
        <f t="shared" ca="1" si="5"/>
        <v/>
      </c>
      <c r="L101" s="27" t="s">
        <v>1567</v>
      </c>
      <c r="M101" s="26" t="str">
        <f ca="1">IF(L101&lt;&gt;"","Entregado",IF(NOT(ISNUMBER(IF(Q101&lt;&gt;"",Q101,I101))),"REVISAR TE",IF(AND(ISNUMBER(Resumen!$B$3),IF(Q101&lt;&gt;"",Q101,I101)&lt;Resumen!$B$3),"REVISAR",IF(IF(Q101&lt;&gt;"",Q101,I101)&lt;TODAY(),"ATRASADO",IF(IF(Q101&lt;&gt;"",Q101,I101)-TODAY()&lt;=2,"POR VENCER","EN TIEMPO")))))</f>
        <v>Entregado</v>
      </c>
      <c r="N101" s="23" t="s">
        <v>98</v>
      </c>
      <c r="P101" s="23" t="s">
        <v>283</v>
      </c>
      <c r="Q101" s="28"/>
    </row>
    <row r="102" spans="1:17" ht="16.5" hidden="1" x14ac:dyDescent="0.3">
      <c r="A102" s="23" t="s">
        <v>280</v>
      </c>
      <c r="B102" s="23" t="s">
        <v>58</v>
      </c>
      <c r="C102" s="23" t="s">
        <v>284</v>
      </c>
      <c r="D102" s="24">
        <v>46073</v>
      </c>
      <c r="E102" s="25">
        <v>41</v>
      </c>
      <c r="F102" s="24">
        <v>46073</v>
      </c>
      <c r="G102" s="23" t="s">
        <v>281</v>
      </c>
      <c r="H102" s="26">
        <v>42</v>
      </c>
      <c r="I102" s="24">
        <f t="shared" si="3"/>
        <v>46115</v>
      </c>
      <c r="J102" s="26">
        <f t="shared" ca="1" si="4"/>
        <v>-189</v>
      </c>
      <c r="K102" s="26" t="str">
        <f t="shared" ca="1" si="5"/>
        <v/>
      </c>
      <c r="L102" s="27" t="s">
        <v>1567</v>
      </c>
      <c r="M102" s="26" t="str">
        <f ca="1">IF(L102&lt;&gt;"","Entregado",IF(NOT(ISNUMBER(IF(Q102&lt;&gt;"",Q102,I102))),"REVISAR TE",IF(AND(ISNUMBER(Resumen!$B$3),IF(Q102&lt;&gt;"",Q102,I102)&lt;Resumen!$B$3),"REVISAR",IF(IF(Q102&lt;&gt;"",Q102,I102)&lt;TODAY(),"ATRASADO",IF(IF(Q102&lt;&gt;"",Q102,I102)-TODAY()&lt;=2,"POR VENCER","EN TIEMPO")))))</f>
        <v>Entregado</v>
      </c>
      <c r="N102" s="23" t="s">
        <v>98</v>
      </c>
      <c r="P102" s="23" t="s">
        <v>283</v>
      </c>
      <c r="Q102" s="28"/>
    </row>
    <row r="103" spans="1:17" ht="16.5" hidden="1" x14ac:dyDescent="0.3">
      <c r="A103" s="23" t="s">
        <v>280</v>
      </c>
      <c r="B103" s="23" t="s">
        <v>58</v>
      </c>
      <c r="C103" s="23" t="s">
        <v>285</v>
      </c>
      <c r="D103" s="24">
        <v>46073</v>
      </c>
      <c r="E103" s="25">
        <v>9</v>
      </c>
      <c r="F103" s="24">
        <v>46073</v>
      </c>
      <c r="G103" s="23" t="s">
        <v>281</v>
      </c>
      <c r="H103" s="26">
        <v>42</v>
      </c>
      <c r="I103" s="24">
        <f t="shared" si="3"/>
        <v>46115</v>
      </c>
      <c r="J103" s="26">
        <f t="shared" ca="1" si="4"/>
        <v>-189</v>
      </c>
      <c r="K103" s="26" t="str">
        <f t="shared" ca="1" si="5"/>
        <v/>
      </c>
      <c r="L103" s="27" t="s">
        <v>1567</v>
      </c>
      <c r="M103" s="26" t="str">
        <f ca="1">IF(L103&lt;&gt;"","Entregado",IF(NOT(ISNUMBER(IF(Q103&lt;&gt;"",Q103,I103))),"REVISAR TE",IF(AND(ISNUMBER(Resumen!$B$3),IF(Q103&lt;&gt;"",Q103,I103)&lt;Resumen!$B$3),"REVISAR",IF(IF(Q103&lt;&gt;"",Q103,I103)&lt;TODAY(),"ATRASADO",IF(IF(Q103&lt;&gt;"",Q103,I103)-TODAY()&lt;=2,"POR VENCER","EN TIEMPO")))))</f>
        <v>Entregado</v>
      </c>
      <c r="N103" s="23" t="s">
        <v>98</v>
      </c>
      <c r="P103" s="23" t="s">
        <v>283</v>
      </c>
      <c r="Q103" s="28"/>
    </row>
    <row r="104" spans="1:17" ht="16.5" hidden="1" x14ac:dyDescent="0.3">
      <c r="A104" s="23" t="s">
        <v>280</v>
      </c>
      <c r="B104" s="23" t="s">
        <v>58</v>
      </c>
      <c r="C104" s="23" t="s">
        <v>286</v>
      </c>
      <c r="D104" s="24">
        <v>46073</v>
      </c>
      <c r="E104" s="25">
        <v>17</v>
      </c>
      <c r="F104" s="24">
        <v>46073</v>
      </c>
      <c r="G104" s="23" t="s">
        <v>281</v>
      </c>
      <c r="H104" s="26">
        <v>42</v>
      </c>
      <c r="I104" s="24">
        <f t="shared" si="3"/>
        <v>46115</v>
      </c>
      <c r="J104" s="26">
        <f t="shared" ca="1" si="4"/>
        <v>-189</v>
      </c>
      <c r="K104" s="26" t="str">
        <f t="shared" ca="1" si="5"/>
        <v/>
      </c>
      <c r="L104" s="27" t="s">
        <v>1567</v>
      </c>
      <c r="M104" s="26" t="str">
        <f ca="1">IF(L104&lt;&gt;"","Entregado",IF(NOT(ISNUMBER(IF(Q104&lt;&gt;"",Q104,I104))),"REVISAR TE",IF(AND(ISNUMBER(Resumen!$B$3),IF(Q104&lt;&gt;"",Q104,I104)&lt;Resumen!$B$3),"REVISAR",IF(IF(Q104&lt;&gt;"",Q104,I104)&lt;TODAY(),"ATRASADO",IF(IF(Q104&lt;&gt;"",Q104,I104)-TODAY()&lt;=2,"POR VENCER","EN TIEMPO")))))</f>
        <v>Entregado</v>
      </c>
      <c r="N104" s="23" t="s">
        <v>98</v>
      </c>
      <c r="P104" s="23" t="s">
        <v>283</v>
      </c>
      <c r="Q104" s="28"/>
    </row>
    <row r="105" spans="1:17" ht="16.5" hidden="1" x14ac:dyDescent="0.3">
      <c r="A105" s="23" t="s">
        <v>280</v>
      </c>
      <c r="B105" s="23" t="s">
        <v>58</v>
      </c>
      <c r="C105" s="23" t="s">
        <v>287</v>
      </c>
      <c r="D105" s="24">
        <v>46073</v>
      </c>
      <c r="E105" s="25">
        <v>3</v>
      </c>
      <c r="F105" s="24">
        <v>46073</v>
      </c>
      <c r="G105" s="23" t="s">
        <v>281</v>
      </c>
      <c r="H105" s="26">
        <v>42</v>
      </c>
      <c r="I105" s="24">
        <f t="shared" si="3"/>
        <v>46115</v>
      </c>
      <c r="J105" s="26">
        <f t="shared" ca="1" si="4"/>
        <v>-189</v>
      </c>
      <c r="K105" s="26" t="str">
        <f t="shared" ca="1" si="5"/>
        <v/>
      </c>
      <c r="L105" s="27" t="s">
        <v>1567</v>
      </c>
      <c r="M105" s="26" t="str">
        <f ca="1">IF(L105&lt;&gt;"","Entregado",IF(NOT(ISNUMBER(IF(Q105&lt;&gt;"",Q105,I105))),"REVISAR TE",IF(AND(ISNUMBER(Resumen!$B$3),IF(Q105&lt;&gt;"",Q105,I105)&lt;Resumen!$B$3),"REVISAR",IF(IF(Q105&lt;&gt;"",Q105,I105)&lt;TODAY(),"ATRASADO",IF(IF(Q105&lt;&gt;"",Q105,I105)-TODAY()&lt;=2,"POR VENCER","EN TIEMPO")))))</f>
        <v>Entregado</v>
      </c>
      <c r="N105" s="23" t="s">
        <v>98</v>
      </c>
      <c r="P105" s="23" t="s">
        <v>283</v>
      </c>
      <c r="Q105" s="28"/>
    </row>
    <row r="106" spans="1:17" ht="16.5" hidden="1" x14ac:dyDescent="0.3">
      <c r="A106" s="23" t="s">
        <v>280</v>
      </c>
      <c r="B106" s="23" t="s">
        <v>58</v>
      </c>
      <c r="C106" s="23" t="s">
        <v>288</v>
      </c>
      <c r="D106" s="24">
        <v>46073</v>
      </c>
      <c r="E106" s="25">
        <v>6</v>
      </c>
      <c r="F106" s="24">
        <v>46073</v>
      </c>
      <c r="G106" s="23" t="s">
        <v>281</v>
      </c>
      <c r="H106" s="26">
        <v>42</v>
      </c>
      <c r="I106" s="24">
        <f t="shared" si="3"/>
        <v>46115</v>
      </c>
      <c r="J106" s="26">
        <f t="shared" ca="1" si="4"/>
        <v>-189</v>
      </c>
      <c r="K106" s="26" t="str">
        <f t="shared" ca="1" si="5"/>
        <v/>
      </c>
      <c r="L106" s="27" t="s">
        <v>1567</v>
      </c>
      <c r="M106" s="26" t="str">
        <f ca="1">IF(L106&lt;&gt;"","Entregado",IF(NOT(ISNUMBER(IF(Q106&lt;&gt;"",Q106,I106))),"REVISAR TE",IF(AND(ISNUMBER(Resumen!$B$3),IF(Q106&lt;&gt;"",Q106,I106)&lt;Resumen!$B$3),"REVISAR",IF(IF(Q106&lt;&gt;"",Q106,I106)&lt;TODAY(),"ATRASADO",IF(IF(Q106&lt;&gt;"",Q106,I106)-TODAY()&lt;=2,"POR VENCER","EN TIEMPO")))))</f>
        <v>Entregado</v>
      </c>
      <c r="N106" s="23" t="s">
        <v>98</v>
      </c>
      <c r="P106" s="23" t="s">
        <v>283</v>
      </c>
      <c r="Q106" s="28"/>
    </row>
    <row r="107" spans="1:17" ht="16.5" hidden="1" x14ac:dyDescent="0.3">
      <c r="A107" s="23" t="s">
        <v>280</v>
      </c>
      <c r="B107" s="23" t="s">
        <v>58</v>
      </c>
      <c r="C107" s="23" t="s">
        <v>289</v>
      </c>
      <c r="D107" s="24">
        <v>46073</v>
      </c>
      <c r="E107" s="25">
        <v>9</v>
      </c>
      <c r="F107" s="24">
        <v>46073</v>
      </c>
      <c r="G107" s="23" t="s">
        <v>281</v>
      </c>
      <c r="H107" s="26">
        <v>42</v>
      </c>
      <c r="I107" s="24">
        <f t="shared" si="3"/>
        <v>46115</v>
      </c>
      <c r="J107" s="26">
        <f t="shared" ca="1" si="4"/>
        <v>-189</v>
      </c>
      <c r="K107" s="26" t="str">
        <f t="shared" ca="1" si="5"/>
        <v/>
      </c>
      <c r="L107" s="27" t="s">
        <v>1567</v>
      </c>
      <c r="M107" s="26" t="str">
        <f ca="1">IF(L107&lt;&gt;"","Entregado",IF(NOT(ISNUMBER(IF(Q107&lt;&gt;"",Q107,I107))),"REVISAR TE",IF(AND(ISNUMBER(Resumen!$B$3),IF(Q107&lt;&gt;"",Q107,I107)&lt;Resumen!$B$3),"REVISAR",IF(IF(Q107&lt;&gt;"",Q107,I107)&lt;TODAY(),"ATRASADO",IF(IF(Q107&lt;&gt;"",Q107,I107)-TODAY()&lt;=2,"POR VENCER","EN TIEMPO")))))</f>
        <v>Entregado</v>
      </c>
      <c r="N107" s="23" t="s">
        <v>98</v>
      </c>
      <c r="P107" s="23" t="s">
        <v>283</v>
      </c>
      <c r="Q107" s="28"/>
    </row>
    <row r="108" spans="1:17" ht="16.5" hidden="1" x14ac:dyDescent="0.3">
      <c r="A108" s="23" t="s">
        <v>280</v>
      </c>
      <c r="B108" s="23" t="s">
        <v>58</v>
      </c>
      <c r="C108" s="23" t="s">
        <v>290</v>
      </c>
      <c r="D108" s="24">
        <v>46073</v>
      </c>
      <c r="E108" s="25">
        <v>27</v>
      </c>
      <c r="F108" s="24">
        <v>46073</v>
      </c>
      <c r="G108" s="23" t="s">
        <v>281</v>
      </c>
      <c r="H108" s="26">
        <v>42</v>
      </c>
      <c r="I108" s="24">
        <f t="shared" si="3"/>
        <v>46115</v>
      </c>
      <c r="J108" s="26">
        <f t="shared" ca="1" si="4"/>
        <v>-189</v>
      </c>
      <c r="K108" s="26" t="str">
        <f t="shared" ca="1" si="5"/>
        <v/>
      </c>
      <c r="L108" s="27" t="s">
        <v>1567</v>
      </c>
      <c r="M108" s="26" t="str">
        <f ca="1">IF(L108&lt;&gt;"","Entregado",IF(NOT(ISNUMBER(IF(Q108&lt;&gt;"",Q108,I108))),"REVISAR TE",IF(AND(ISNUMBER(Resumen!$B$3),IF(Q108&lt;&gt;"",Q108,I108)&lt;Resumen!$B$3),"REVISAR",IF(IF(Q108&lt;&gt;"",Q108,I108)&lt;TODAY(),"ATRASADO",IF(IF(Q108&lt;&gt;"",Q108,I108)-TODAY()&lt;=2,"POR VENCER","EN TIEMPO")))))</f>
        <v>Entregado</v>
      </c>
      <c r="N108" s="23" t="s">
        <v>98</v>
      </c>
      <c r="P108" s="23" t="s">
        <v>283</v>
      </c>
      <c r="Q108" s="28"/>
    </row>
    <row r="109" spans="1:17" ht="16.5" hidden="1" x14ac:dyDescent="0.3">
      <c r="A109" s="23" t="s">
        <v>280</v>
      </c>
      <c r="B109" s="23" t="s">
        <v>58</v>
      </c>
      <c r="C109" s="23" t="s">
        <v>291</v>
      </c>
      <c r="D109" s="24">
        <v>46073</v>
      </c>
      <c r="E109" s="25">
        <v>27</v>
      </c>
      <c r="F109" s="24">
        <v>46073</v>
      </c>
      <c r="G109" s="23" t="s">
        <v>281</v>
      </c>
      <c r="H109" s="26">
        <v>42</v>
      </c>
      <c r="I109" s="24">
        <f t="shared" si="3"/>
        <v>46115</v>
      </c>
      <c r="J109" s="26">
        <f t="shared" ca="1" si="4"/>
        <v>-189</v>
      </c>
      <c r="K109" s="26" t="str">
        <f t="shared" ca="1" si="5"/>
        <v/>
      </c>
      <c r="L109" s="27" t="s">
        <v>1567</v>
      </c>
      <c r="M109" s="26" t="str">
        <f ca="1">IF(L109&lt;&gt;"","Entregado",IF(NOT(ISNUMBER(IF(Q109&lt;&gt;"",Q109,I109))),"REVISAR TE",IF(AND(ISNUMBER(Resumen!$B$3),IF(Q109&lt;&gt;"",Q109,I109)&lt;Resumen!$B$3),"REVISAR",IF(IF(Q109&lt;&gt;"",Q109,I109)&lt;TODAY(),"ATRASADO",IF(IF(Q109&lt;&gt;"",Q109,I109)-TODAY()&lt;=2,"POR VENCER","EN TIEMPO")))))</f>
        <v>Entregado</v>
      </c>
      <c r="N109" s="23" t="s">
        <v>98</v>
      </c>
      <c r="P109" s="23" t="s">
        <v>283</v>
      </c>
      <c r="Q109" s="28"/>
    </row>
    <row r="110" spans="1:17" ht="16.5" hidden="1" x14ac:dyDescent="0.3">
      <c r="A110" s="23" t="s">
        <v>292</v>
      </c>
      <c r="B110" s="23" t="s">
        <v>54</v>
      </c>
      <c r="C110" s="23" t="s">
        <v>293</v>
      </c>
      <c r="D110" s="24">
        <v>46073</v>
      </c>
      <c r="E110" s="25">
        <v>1</v>
      </c>
      <c r="F110" s="24">
        <v>46073</v>
      </c>
      <c r="G110" s="23" t="s">
        <v>192</v>
      </c>
      <c r="H110" s="26">
        <v>35</v>
      </c>
      <c r="I110" s="24">
        <f t="shared" si="3"/>
        <v>46108</v>
      </c>
      <c r="J110" s="26">
        <f t="shared" ca="1" si="4"/>
        <v>-196</v>
      </c>
      <c r="K110" s="26" t="str">
        <f t="shared" ca="1" si="5"/>
        <v/>
      </c>
      <c r="L110" s="27" t="s">
        <v>1567</v>
      </c>
      <c r="M110" s="26" t="str">
        <f ca="1">IF(L110&lt;&gt;"","Entregado",IF(NOT(ISNUMBER(IF(Q110&lt;&gt;"",Q110,I110))),"REVISAR TE",IF(AND(ISNUMBER(Resumen!$B$3),IF(Q110&lt;&gt;"",Q110,I110)&lt;Resumen!$B$3),"REVISAR",IF(IF(Q110&lt;&gt;"",Q110,I110)&lt;TODAY(),"ATRASADO",IF(IF(Q110&lt;&gt;"",Q110,I110)-TODAY()&lt;=2,"POR VENCER","EN TIEMPO")))))</f>
        <v>Entregado</v>
      </c>
      <c r="N110" s="23" t="s">
        <v>84</v>
      </c>
      <c r="P110" s="23" t="s">
        <v>294</v>
      </c>
      <c r="Q110" s="28"/>
    </row>
    <row r="111" spans="1:17" ht="16.5" hidden="1" x14ac:dyDescent="0.3">
      <c r="A111" s="23" t="s">
        <v>292</v>
      </c>
      <c r="B111" s="23" t="s">
        <v>54</v>
      </c>
      <c r="C111" s="23" t="s">
        <v>295</v>
      </c>
      <c r="D111" s="24">
        <v>46073</v>
      </c>
      <c r="E111" s="25">
        <v>1</v>
      </c>
      <c r="F111" s="24">
        <v>46073</v>
      </c>
      <c r="G111" s="23" t="s">
        <v>192</v>
      </c>
      <c r="H111" s="26">
        <v>35</v>
      </c>
      <c r="I111" s="24">
        <f t="shared" si="3"/>
        <v>46108</v>
      </c>
      <c r="J111" s="26">
        <f t="shared" ca="1" si="4"/>
        <v>-196</v>
      </c>
      <c r="K111" s="26" t="str">
        <f t="shared" ca="1" si="5"/>
        <v/>
      </c>
      <c r="L111" s="27" t="s">
        <v>1567</v>
      </c>
      <c r="M111" s="26" t="str">
        <f ca="1">IF(L111&lt;&gt;"","Entregado",IF(NOT(ISNUMBER(IF(Q111&lt;&gt;"",Q111,I111))),"REVISAR TE",IF(AND(ISNUMBER(Resumen!$B$3),IF(Q111&lt;&gt;"",Q111,I111)&lt;Resumen!$B$3),"REVISAR",IF(IF(Q111&lt;&gt;"",Q111,I111)&lt;TODAY(),"ATRASADO",IF(IF(Q111&lt;&gt;"",Q111,I111)-TODAY()&lt;=2,"POR VENCER","EN TIEMPO")))))</f>
        <v>Entregado</v>
      </c>
      <c r="N111" s="23" t="s">
        <v>84</v>
      </c>
      <c r="P111" s="23" t="s">
        <v>294</v>
      </c>
      <c r="Q111" s="28"/>
    </row>
    <row r="112" spans="1:17" ht="16.5" hidden="1" x14ac:dyDescent="0.3">
      <c r="A112" s="23" t="s">
        <v>292</v>
      </c>
      <c r="B112" s="23" t="s">
        <v>54</v>
      </c>
      <c r="C112" s="23" t="s">
        <v>296</v>
      </c>
      <c r="D112" s="24">
        <v>46073</v>
      </c>
      <c r="E112" s="25">
        <v>1</v>
      </c>
      <c r="F112" s="24">
        <v>46073</v>
      </c>
      <c r="G112" s="23" t="s">
        <v>192</v>
      </c>
      <c r="H112" s="26">
        <v>35</v>
      </c>
      <c r="I112" s="24">
        <f t="shared" si="3"/>
        <v>46108</v>
      </c>
      <c r="J112" s="26">
        <f t="shared" ca="1" si="4"/>
        <v>-196</v>
      </c>
      <c r="K112" s="26" t="str">
        <f t="shared" ca="1" si="5"/>
        <v/>
      </c>
      <c r="L112" s="27" t="s">
        <v>1567</v>
      </c>
      <c r="M112" s="26" t="str">
        <f ca="1">IF(L112&lt;&gt;"","Entregado",IF(NOT(ISNUMBER(IF(Q112&lt;&gt;"",Q112,I112))),"REVISAR TE",IF(AND(ISNUMBER(Resumen!$B$3),IF(Q112&lt;&gt;"",Q112,I112)&lt;Resumen!$B$3),"REVISAR",IF(IF(Q112&lt;&gt;"",Q112,I112)&lt;TODAY(),"ATRASADO",IF(IF(Q112&lt;&gt;"",Q112,I112)-TODAY()&lt;=2,"POR VENCER","EN TIEMPO")))))</f>
        <v>Entregado</v>
      </c>
      <c r="N112" s="23" t="s">
        <v>84</v>
      </c>
      <c r="P112" s="23" t="s">
        <v>294</v>
      </c>
      <c r="Q112" s="28"/>
    </row>
    <row r="113" spans="1:17" ht="16.5" hidden="1" x14ac:dyDescent="0.3">
      <c r="A113" s="23" t="s">
        <v>297</v>
      </c>
      <c r="B113" s="23" t="s">
        <v>55</v>
      </c>
      <c r="C113" s="23" t="s">
        <v>298</v>
      </c>
      <c r="D113" s="24">
        <v>46077</v>
      </c>
      <c r="E113" s="25">
        <v>4</v>
      </c>
      <c r="F113" s="24">
        <v>46077</v>
      </c>
      <c r="G113" s="23" t="s">
        <v>156</v>
      </c>
      <c r="H113" s="26">
        <v>21</v>
      </c>
      <c r="I113" s="24">
        <f t="shared" si="3"/>
        <v>46098</v>
      </c>
      <c r="J113" s="26">
        <f t="shared" ca="1" si="4"/>
        <v>-206</v>
      </c>
      <c r="K113" s="26" t="str">
        <f t="shared" ca="1" si="5"/>
        <v/>
      </c>
      <c r="L113" s="27" t="s">
        <v>1567</v>
      </c>
      <c r="M113" s="26" t="str">
        <f ca="1">IF(L113&lt;&gt;"","Entregado",IF(NOT(ISNUMBER(IF(Q113&lt;&gt;"",Q113,I113))),"REVISAR TE",IF(AND(ISNUMBER(Resumen!$B$3),IF(Q113&lt;&gt;"",Q113,I113)&lt;Resumen!$B$3),"REVISAR",IF(IF(Q113&lt;&gt;"",Q113,I113)&lt;TODAY(),"ATRASADO",IF(IF(Q113&lt;&gt;"",Q113,I113)-TODAY()&lt;=2,"POR VENCER","EN TIEMPO")))))</f>
        <v>Entregado</v>
      </c>
      <c r="N113" s="23" t="s">
        <v>98</v>
      </c>
      <c r="P113" s="23" t="s">
        <v>299</v>
      </c>
      <c r="Q113" s="28"/>
    </row>
    <row r="114" spans="1:17" ht="16.5" hidden="1" x14ac:dyDescent="0.3">
      <c r="A114" s="23" t="s">
        <v>297</v>
      </c>
      <c r="B114" s="23" t="s">
        <v>55</v>
      </c>
      <c r="C114" s="23" t="s">
        <v>300</v>
      </c>
      <c r="D114" s="24">
        <v>46077</v>
      </c>
      <c r="E114" s="25">
        <v>1</v>
      </c>
      <c r="F114" s="24">
        <v>46077</v>
      </c>
      <c r="G114" s="23" t="s">
        <v>156</v>
      </c>
      <c r="H114" s="26">
        <v>21</v>
      </c>
      <c r="I114" s="24">
        <f t="shared" si="3"/>
        <v>46098</v>
      </c>
      <c r="J114" s="26">
        <f t="shared" ca="1" si="4"/>
        <v>-206</v>
      </c>
      <c r="K114" s="26" t="str">
        <f t="shared" ca="1" si="5"/>
        <v/>
      </c>
      <c r="L114" s="27" t="s">
        <v>1567</v>
      </c>
      <c r="M114" s="26" t="str">
        <f ca="1">IF(L114&lt;&gt;"","Entregado",IF(NOT(ISNUMBER(IF(Q114&lt;&gt;"",Q114,I114))),"REVISAR TE",IF(AND(ISNUMBER(Resumen!$B$3),IF(Q114&lt;&gt;"",Q114,I114)&lt;Resumen!$B$3),"REVISAR",IF(IF(Q114&lt;&gt;"",Q114,I114)&lt;TODAY(),"ATRASADO",IF(IF(Q114&lt;&gt;"",Q114,I114)-TODAY()&lt;=2,"POR VENCER","EN TIEMPO")))))</f>
        <v>Entregado</v>
      </c>
      <c r="N114" s="23" t="s">
        <v>245</v>
      </c>
      <c r="P114" s="23" t="s">
        <v>299</v>
      </c>
      <c r="Q114" s="28"/>
    </row>
    <row r="115" spans="1:17" ht="16.5" hidden="1" x14ac:dyDescent="0.3">
      <c r="A115" s="23" t="s">
        <v>297</v>
      </c>
      <c r="B115" s="23" t="s">
        <v>55</v>
      </c>
      <c r="C115" s="23" t="s">
        <v>301</v>
      </c>
      <c r="D115" s="24">
        <v>46077</v>
      </c>
      <c r="E115" s="25">
        <v>1</v>
      </c>
      <c r="F115" s="24">
        <v>46077</v>
      </c>
      <c r="G115" s="23" t="s">
        <v>156</v>
      </c>
      <c r="H115" s="26">
        <v>21</v>
      </c>
      <c r="I115" s="24">
        <f t="shared" si="3"/>
        <v>46098</v>
      </c>
      <c r="J115" s="26">
        <f t="shared" ca="1" si="4"/>
        <v>-206</v>
      </c>
      <c r="K115" s="26" t="str">
        <f t="shared" ca="1" si="5"/>
        <v/>
      </c>
      <c r="L115" s="27" t="s">
        <v>1567</v>
      </c>
      <c r="M115" s="26" t="str">
        <f ca="1">IF(L115&lt;&gt;"","Entregado",IF(NOT(ISNUMBER(IF(Q115&lt;&gt;"",Q115,I115))),"REVISAR TE",IF(AND(ISNUMBER(Resumen!$B$3),IF(Q115&lt;&gt;"",Q115,I115)&lt;Resumen!$B$3),"REVISAR",IF(IF(Q115&lt;&gt;"",Q115,I115)&lt;TODAY(),"ATRASADO",IF(IF(Q115&lt;&gt;"",Q115,I115)-TODAY()&lt;=2,"POR VENCER","EN TIEMPO")))))</f>
        <v>Entregado</v>
      </c>
      <c r="N115" s="23" t="s">
        <v>245</v>
      </c>
      <c r="P115" s="23" t="s">
        <v>299</v>
      </c>
      <c r="Q115" s="28"/>
    </row>
    <row r="116" spans="1:17" ht="16.5" hidden="1" x14ac:dyDescent="0.3">
      <c r="A116" s="23" t="s">
        <v>302</v>
      </c>
      <c r="B116" s="23" t="s">
        <v>58</v>
      </c>
      <c r="C116" s="23" t="s">
        <v>303</v>
      </c>
      <c r="D116" s="24">
        <v>46077</v>
      </c>
      <c r="E116" s="25">
        <v>1</v>
      </c>
      <c r="F116" s="24">
        <v>46077</v>
      </c>
      <c r="G116" s="23" t="s">
        <v>137</v>
      </c>
      <c r="H116" s="26">
        <v>28</v>
      </c>
      <c r="I116" s="24">
        <f t="shared" si="3"/>
        <v>46105</v>
      </c>
      <c r="J116" s="26">
        <f t="shared" ca="1" si="4"/>
        <v>-199</v>
      </c>
      <c r="K116" s="26" t="str">
        <f t="shared" ca="1" si="5"/>
        <v/>
      </c>
      <c r="L116" s="27" t="s">
        <v>1567</v>
      </c>
      <c r="M116" s="26" t="str">
        <f ca="1">IF(L116&lt;&gt;"","Entregado",IF(NOT(ISNUMBER(IF(Q116&lt;&gt;"",Q116,I116))),"REVISAR TE",IF(AND(ISNUMBER(Resumen!$B$3),IF(Q116&lt;&gt;"",Q116,I116)&lt;Resumen!$B$3),"REVISAR",IF(IF(Q116&lt;&gt;"",Q116,I116)&lt;TODAY(),"ATRASADO",IF(IF(Q116&lt;&gt;"",Q116,I116)-TODAY()&lt;=2,"POR VENCER","EN TIEMPO")))))</f>
        <v>Entregado</v>
      </c>
      <c r="N116" s="23" t="s">
        <v>245</v>
      </c>
      <c r="P116" s="23" t="s">
        <v>304</v>
      </c>
      <c r="Q116" s="28"/>
    </row>
    <row r="117" spans="1:17" ht="16.5" hidden="1" x14ac:dyDescent="0.3">
      <c r="A117" s="23" t="s">
        <v>302</v>
      </c>
      <c r="B117" s="23" t="s">
        <v>58</v>
      </c>
      <c r="C117" s="23" t="s">
        <v>305</v>
      </c>
      <c r="D117" s="24">
        <v>46077</v>
      </c>
      <c r="E117" s="25">
        <v>1</v>
      </c>
      <c r="F117" s="24">
        <v>46077</v>
      </c>
      <c r="G117" s="23" t="s">
        <v>137</v>
      </c>
      <c r="H117" s="26">
        <v>28</v>
      </c>
      <c r="I117" s="24">
        <f t="shared" si="3"/>
        <v>46105</v>
      </c>
      <c r="J117" s="26">
        <f t="shared" ca="1" si="4"/>
        <v>-199</v>
      </c>
      <c r="K117" s="26" t="str">
        <f t="shared" ca="1" si="5"/>
        <v/>
      </c>
      <c r="L117" s="27" t="s">
        <v>1567</v>
      </c>
      <c r="M117" s="26" t="str">
        <f ca="1">IF(L117&lt;&gt;"","Entregado",IF(NOT(ISNUMBER(IF(Q117&lt;&gt;"",Q117,I117))),"REVISAR TE",IF(AND(ISNUMBER(Resumen!$B$3),IF(Q117&lt;&gt;"",Q117,I117)&lt;Resumen!$B$3),"REVISAR",IF(IF(Q117&lt;&gt;"",Q117,I117)&lt;TODAY(),"ATRASADO",IF(IF(Q117&lt;&gt;"",Q117,I117)-TODAY()&lt;=2,"POR VENCER","EN TIEMPO")))))</f>
        <v>Entregado</v>
      </c>
      <c r="N117" s="23" t="s">
        <v>245</v>
      </c>
      <c r="P117" s="23" t="s">
        <v>304</v>
      </c>
      <c r="Q117" s="28"/>
    </row>
    <row r="118" spans="1:17" ht="16.5" hidden="1" x14ac:dyDescent="0.3">
      <c r="A118" s="23" t="s">
        <v>306</v>
      </c>
      <c r="B118" s="23" t="s">
        <v>56</v>
      </c>
      <c r="C118" s="23" t="s">
        <v>307</v>
      </c>
      <c r="D118" s="24">
        <v>46077</v>
      </c>
      <c r="E118" s="25">
        <v>1</v>
      </c>
      <c r="F118" s="24">
        <v>46077</v>
      </c>
      <c r="G118" s="23" t="s">
        <v>137</v>
      </c>
      <c r="H118" s="26">
        <v>28</v>
      </c>
      <c r="I118" s="24">
        <f t="shared" si="3"/>
        <v>46105</v>
      </c>
      <c r="J118" s="26">
        <f t="shared" ca="1" si="4"/>
        <v>-199</v>
      </c>
      <c r="K118" s="26" t="str">
        <f t="shared" ca="1" si="5"/>
        <v/>
      </c>
      <c r="L118" s="27" t="s">
        <v>1567</v>
      </c>
      <c r="M118" s="26" t="str">
        <f ca="1">IF(L118&lt;&gt;"","Entregado",IF(NOT(ISNUMBER(IF(Q118&lt;&gt;"",Q118,I118))),"REVISAR TE",IF(AND(ISNUMBER(Resumen!$B$3),IF(Q118&lt;&gt;"",Q118,I118)&lt;Resumen!$B$3),"REVISAR",IF(IF(Q118&lt;&gt;"",Q118,I118)&lt;TODAY(),"ATRASADO",IF(IF(Q118&lt;&gt;"",Q118,I118)-TODAY()&lt;=2,"POR VENCER","EN TIEMPO")))))</f>
        <v>Entregado</v>
      </c>
      <c r="N118" s="23" t="s">
        <v>84</v>
      </c>
      <c r="P118" s="23" t="s">
        <v>308</v>
      </c>
      <c r="Q118" s="28"/>
    </row>
    <row r="119" spans="1:17" ht="16.5" hidden="1" x14ac:dyDescent="0.3">
      <c r="A119" s="23" t="s">
        <v>306</v>
      </c>
      <c r="B119" s="23" t="s">
        <v>56</v>
      </c>
      <c r="C119" s="23" t="s">
        <v>309</v>
      </c>
      <c r="D119" s="24">
        <v>46077</v>
      </c>
      <c r="E119" s="25">
        <v>1</v>
      </c>
      <c r="F119" s="24">
        <v>46077</v>
      </c>
      <c r="G119" s="23" t="s">
        <v>137</v>
      </c>
      <c r="H119" s="26">
        <v>28</v>
      </c>
      <c r="I119" s="24">
        <f t="shared" si="3"/>
        <v>46105</v>
      </c>
      <c r="J119" s="26">
        <f t="shared" ca="1" si="4"/>
        <v>-199</v>
      </c>
      <c r="K119" s="26" t="str">
        <f t="shared" ca="1" si="5"/>
        <v/>
      </c>
      <c r="L119" s="27" t="s">
        <v>1567</v>
      </c>
      <c r="M119" s="26" t="str">
        <f ca="1">IF(L119&lt;&gt;"","Entregado",IF(NOT(ISNUMBER(IF(Q119&lt;&gt;"",Q119,I119))),"REVISAR TE",IF(AND(ISNUMBER(Resumen!$B$3),IF(Q119&lt;&gt;"",Q119,I119)&lt;Resumen!$B$3),"REVISAR",IF(IF(Q119&lt;&gt;"",Q119,I119)&lt;TODAY(),"ATRASADO",IF(IF(Q119&lt;&gt;"",Q119,I119)-TODAY()&lt;=2,"POR VENCER","EN TIEMPO")))))</f>
        <v>Entregado</v>
      </c>
      <c r="N119" s="23" t="s">
        <v>84</v>
      </c>
      <c r="P119" s="23" t="s">
        <v>308</v>
      </c>
      <c r="Q119" s="28"/>
    </row>
    <row r="120" spans="1:17" ht="16.5" hidden="1" x14ac:dyDescent="0.3">
      <c r="A120" s="23" t="s">
        <v>310</v>
      </c>
      <c r="B120" s="23" t="s">
        <v>54</v>
      </c>
      <c r="C120" s="23" t="s">
        <v>311</v>
      </c>
      <c r="D120" s="24">
        <v>46077</v>
      </c>
      <c r="E120" s="25">
        <v>1</v>
      </c>
      <c r="F120" s="24">
        <v>46077</v>
      </c>
      <c r="G120" s="23" t="s">
        <v>128</v>
      </c>
      <c r="H120" s="26">
        <v>5</v>
      </c>
      <c r="I120" s="24">
        <f t="shared" si="3"/>
        <v>46082</v>
      </c>
      <c r="J120" s="26">
        <f t="shared" ca="1" si="4"/>
        <v>-222</v>
      </c>
      <c r="K120" s="26" t="str">
        <f t="shared" ca="1" si="5"/>
        <v/>
      </c>
      <c r="L120" s="27" t="s">
        <v>1567</v>
      </c>
      <c r="M120" s="26" t="str">
        <f ca="1">IF(L120&lt;&gt;"","Entregado",IF(NOT(ISNUMBER(IF(Q120&lt;&gt;"",Q120,I120))),"REVISAR TE",IF(AND(ISNUMBER(Resumen!$B$3),IF(Q120&lt;&gt;"",Q120,I120)&lt;Resumen!$B$3),"REVISAR",IF(IF(Q120&lt;&gt;"",Q120,I120)&lt;TODAY(),"ATRASADO",IF(IF(Q120&lt;&gt;"",Q120,I120)-TODAY()&lt;=2,"POR VENCER","EN TIEMPO")))))</f>
        <v>Entregado</v>
      </c>
      <c r="N120" s="23" t="s">
        <v>89</v>
      </c>
      <c r="P120" s="23" t="s">
        <v>312</v>
      </c>
      <c r="Q120" s="28"/>
    </row>
    <row r="121" spans="1:17" ht="16.5" hidden="1" x14ac:dyDescent="0.3">
      <c r="A121" s="23" t="s">
        <v>313</v>
      </c>
      <c r="B121" s="23" t="s">
        <v>52</v>
      </c>
      <c r="C121" s="23" t="s">
        <v>314</v>
      </c>
      <c r="D121" s="24">
        <v>46079</v>
      </c>
      <c r="E121" s="25">
        <v>2</v>
      </c>
      <c r="F121" s="24">
        <v>46079</v>
      </c>
      <c r="G121" s="23" t="s">
        <v>187</v>
      </c>
      <c r="H121" s="26">
        <v>35</v>
      </c>
      <c r="I121" s="24">
        <f t="shared" si="3"/>
        <v>46114</v>
      </c>
      <c r="J121" s="26">
        <f t="shared" ca="1" si="4"/>
        <v>-190</v>
      </c>
      <c r="K121" s="26" t="str">
        <f t="shared" ca="1" si="5"/>
        <v/>
      </c>
      <c r="L121" s="27" t="s">
        <v>1567</v>
      </c>
      <c r="M121" s="26" t="str">
        <f ca="1">IF(L121&lt;&gt;"","Entregado",IF(NOT(ISNUMBER(IF(Q121&lt;&gt;"",Q121,I121))),"REVISAR TE",IF(AND(ISNUMBER(Resumen!$B$3),IF(Q121&lt;&gt;"",Q121,I121)&lt;Resumen!$B$3),"REVISAR",IF(IF(Q121&lt;&gt;"",Q121,I121)&lt;TODAY(),"ATRASADO",IF(IF(Q121&lt;&gt;"",Q121,I121)-TODAY()&lt;=2,"POR VENCER","EN TIEMPO")))))</f>
        <v>Entregado</v>
      </c>
      <c r="N121" s="23" t="s">
        <v>197</v>
      </c>
      <c r="P121" s="23" t="s">
        <v>315</v>
      </c>
      <c r="Q121" s="28"/>
    </row>
    <row r="122" spans="1:17" ht="16.5" hidden="1" x14ac:dyDescent="0.3">
      <c r="A122" s="23" t="s">
        <v>313</v>
      </c>
      <c r="B122" s="23" t="s">
        <v>52</v>
      </c>
      <c r="C122" s="23" t="s">
        <v>316</v>
      </c>
      <c r="D122" s="24">
        <v>46079</v>
      </c>
      <c r="E122" s="25">
        <v>2</v>
      </c>
      <c r="F122" s="24">
        <v>46079</v>
      </c>
      <c r="G122" s="23" t="s">
        <v>187</v>
      </c>
      <c r="H122" s="26">
        <v>35</v>
      </c>
      <c r="I122" s="24">
        <f t="shared" si="3"/>
        <v>46114</v>
      </c>
      <c r="J122" s="26">
        <f t="shared" ca="1" si="4"/>
        <v>-190</v>
      </c>
      <c r="K122" s="26" t="str">
        <f t="shared" ca="1" si="5"/>
        <v/>
      </c>
      <c r="L122" s="27" t="s">
        <v>1567</v>
      </c>
      <c r="M122" s="26" t="str">
        <f ca="1">IF(L122&lt;&gt;"","Entregado",IF(NOT(ISNUMBER(IF(Q122&lt;&gt;"",Q122,I122))),"REVISAR TE",IF(AND(ISNUMBER(Resumen!$B$3),IF(Q122&lt;&gt;"",Q122,I122)&lt;Resumen!$B$3),"REVISAR",IF(IF(Q122&lt;&gt;"",Q122,I122)&lt;TODAY(),"ATRASADO",IF(IF(Q122&lt;&gt;"",Q122,I122)-TODAY()&lt;=2,"POR VENCER","EN TIEMPO")))))</f>
        <v>Entregado</v>
      </c>
      <c r="N122" s="23" t="s">
        <v>197</v>
      </c>
      <c r="P122" s="23" t="s">
        <v>315</v>
      </c>
      <c r="Q122" s="28"/>
    </row>
    <row r="123" spans="1:17" ht="16.5" hidden="1" x14ac:dyDescent="0.3">
      <c r="A123" s="23" t="s">
        <v>313</v>
      </c>
      <c r="B123" s="23" t="s">
        <v>52</v>
      </c>
      <c r="C123" s="23" t="s">
        <v>317</v>
      </c>
      <c r="D123" s="24">
        <v>46079</v>
      </c>
      <c r="E123" s="25">
        <v>12</v>
      </c>
      <c r="F123" s="24">
        <v>46079</v>
      </c>
      <c r="G123" s="23" t="s">
        <v>187</v>
      </c>
      <c r="H123" s="26">
        <v>35</v>
      </c>
      <c r="I123" s="24">
        <f t="shared" si="3"/>
        <v>46114</v>
      </c>
      <c r="J123" s="26">
        <f t="shared" ca="1" si="4"/>
        <v>-190</v>
      </c>
      <c r="K123" s="26" t="str">
        <f t="shared" ca="1" si="5"/>
        <v/>
      </c>
      <c r="L123" s="27" t="s">
        <v>1567</v>
      </c>
      <c r="M123" s="26" t="str">
        <f ca="1">IF(L123&lt;&gt;"","Entregado",IF(NOT(ISNUMBER(IF(Q123&lt;&gt;"",Q123,I123))),"REVISAR TE",IF(AND(ISNUMBER(Resumen!$B$3),IF(Q123&lt;&gt;"",Q123,I123)&lt;Resumen!$B$3),"REVISAR",IF(IF(Q123&lt;&gt;"",Q123,I123)&lt;TODAY(),"ATRASADO",IF(IF(Q123&lt;&gt;"",Q123,I123)-TODAY()&lt;=2,"POR VENCER","EN TIEMPO")))))</f>
        <v>Entregado</v>
      </c>
      <c r="N123" s="23" t="s">
        <v>197</v>
      </c>
      <c r="P123" s="23" t="s">
        <v>315</v>
      </c>
      <c r="Q123" s="28"/>
    </row>
    <row r="124" spans="1:17" ht="16.5" hidden="1" x14ac:dyDescent="0.3">
      <c r="A124" s="23" t="s">
        <v>313</v>
      </c>
      <c r="B124" s="23" t="s">
        <v>52</v>
      </c>
      <c r="C124" s="23" t="s">
        <v>318</v>
      </c>
      <c r="D124" s="24">
        <v>46079</v>
      </c>
      <c r="E124" s="25">
        <v>12</v>
      </c>
      <c r="F124" s="24">
        <v>46079</v>
      </c>
      <c r="G124" s="23" t="s">
        <v>187</v>
      </c>
      <c r="H124" s="26">
        <v>35</v>
      </c>
      <c r="I124" s="24">
        <f t="shared" si="3"/>
        <v>46114</v>
      </c>
      <c r="J124" s="26">
        <f t="shared" ca="1" si="4"/>
        <v>-190</v>
      </c>
      <c r="K124" s="26" t="str">
        <f t="shared" ca="1" si="5"/>
        <v/>
      </c>
      <c r="L124" s="27" t="s">
        <v>1567</v>
      </c>
      <c r="M124" s="26" t="str">
        <f ca="1">IF(L124&lt;&gt;"","Entregado",IF(NOT(ISNUMBER(IF(Q124&lt;&gt;"",Q124,I124))),"REVISAR TE",IF(AND(ISNUMBER(Resumen!$B$3),IF(Q124&lt;&gt;"",Q124,I124)&lt;Resumen!$B$3),"REVISAR",IF(IF(Q124&lt;&gt;"",Q124,I124)&lt;TODAY(),"ATRASADO",IF(IF(Q124&lt;&gt;"",Q124,I124)-TODAY()&lt;=2,"POR VENCER","EN TIEMPO")))))</f>
        <v>Entregado</v>
      </c>
      <c r="N124" s="23" t="s">
        <v>197</v>
      </c>
      <c r="P124" s="23" t="s">
        <v>315</v>
      </c>
      <c r="Q124" s="28"/>
    </row>
    <row r="125" spans="1:17" ht="16.5" hidden="1" x14ac:dyDescent="0.3">
      <c r="A125" s="23" t="s">
        <v>313</v>
      </c>
      <c r="B125" s="23" t="s">
        <v>52</v>
      </c>
      <c r="C125" s="23" t="s">
        <v>319</v>
      </c>
      <c r="D125" s="24">
        <v>46079</v>
      </c>
      <c r="E125" s="25">
        <v>2</v>
      </c>
      <c r="F125" s="24">
        <v>46079</v>
      </c>
      <c r="G125" s="23" t="s">
        <v>187</v>
      </c>
      <c r="H125" s="26">
        <v>35</v>
      </c>
      <c r="I125" s="24">
        <f t="shared" si="3"/>
        <v>46114</v>
      </c>
      <c r="J125" s="26">
        <f t="shared" ca="1" si="4"/>
        <v>-190</v>
      </c>
      <c r="K125" s="26" t="str">
        <f t="shared" ca="1" si="5"/>
        <v/>
      </c>
      <c r="L125" s="27" t="s">
        <v>1567</v>
      </c>
      <c r="M125" s="26" t="str">
        <f ca="1">IF(L125&lt;&gt;"","Entregado",IF(NOT(ISNUMBER(IF(Q125&lt;&gt;"",Q125,I125))),"REVISAR TE",IF(AND(ISNUMBER(Resumen!$B$3),IF(Q125&lt;&gt;"",Q125,I125)&lt;Resumen!$B$3),"REVISAR",IF(IF(Q125&lt;&gt;"",Q125,I125)&lt;TODAY(),"ATRASADO",IF(IF(Q125&lt;&gt;"",Q125,I125)-TODAY()&lt;=2,"POR VENCER","EN TIEMPO")))))</f>
        <v>Entregado</v>
      </c>
      <c r="N125" s="23" t="s">
        <v>197</v>
      </c>
      <c r="P125" s="23" t="s">
        <v>315</v>
      </c>
      <c r="Q125" s="28"/>
    </row>
    <row r="126" spans="1:17" ht="16.5" hidden="1" x14ac:dyDescent="0.3">
      <c r="A126" s="23" t="s">
        <v>313</v>
      </c>
      <c r="B126" s="23" t="s">
        <v>52</v>
      </c>
      <c r="C126" s="23" t="s">
        <v>320</v>
      </c>
      <c r="D126" s="24">
        <v>46079</v>
      </c>
      <c r="E126" s="25">
        <v>3</v>
      </c>
      <c r="F126" s="24">
        <v>46079</v>
      </c>
      <c r="G126" s="23" t="s">
        <v>187</v>
      </c>
      <c r="H126" s="26">
        <v>35</v>
      </c>
      <c r="I126" s="24">
        <f t="shared" si="3"/>
        <v>46114</v>
      </c>
      <c r="J126" s="26">
        <f t="shared" ca="1" si="4"/>
        <v>-190</v>
      </c>
      <c r="K126" s="26" t="str">
        <f t="shared" ca="1" si="5"/>
        <v/>
      </c>
      <c r="L126" s="27" t="s">
        <v>1567</v>
      </c>
      <c r="M126" s="26" t="str">
        <f ca="1">IF(L126&lt;&gt;"","Entregado",IF(NOT(ISNUMBER(IF(Q126&lt;&gt;"",Q126,I126))),"REVISAR TE",IF(AND(ISNUMBER(Resumen!$B$3),IF(Q126&lt;&gt;"",Q126,I126)&lt;Resumen!$B$3),"REVISAR",IF(IF(Q126&lt;&gt;"",Q126,I126)&lt;TODAY(),"ATRASADO",IF(IF(Q126&lt;&gt;"",Q126,I126)-TODAY()&lt;=2,"POR VENCER","EN TIEMPO")))))</f>
        <v>Entregado</v>
      </c>
      <c r="N126" s="23" t="s">
        <v>197</v>
      </c>
      <c r="P126" s="23" t="s">
        <v>315</v>
      </c>
      <c r="Q126" s="28"/>
    </row>
    <row r="127" spans="1:17" ht="16.5" hidden="1" x14ac:dyDescent="0.3">
      <c r="A127" s="23" t="s">
        <v>313</v>
      </c>
      <c r="B127" s="23" t="s">
        <v>52</v>
      </c>
      <c r="C127" s="23" t="s">
        <v>321</v>
      </c>
      <c r="D127" s="24">
        <v>46079</v>
      </c>
      <c r="E127" s="25">
        <v>7</v>
      </c>
      <c r="F127" s="24">
        <v>46079</v>
      </c>
      <c r="G127" s="23" t="s">
        <v>187</v>
      </c>
      <c r="H127" s="26">
        <v>35</v>
      </c>
      <c r="I127" s="24">
        <f t="shared" si="3"/>
        <v>46114</v>
      </c>
      <c r="J127" s="26">
        <f t="shared" ca="1" si="4"/>
        <v>-190</v>
      </c>
      <c r="K127" s="26" t="str">
        <f t="shared" ca="1" si="5"/>
        <v/>
      </c>
      <c r="L127" s="27" t="s">
        <v>1567</v>
      </c>
      <c r="M127" s="26" t="str">
        <f ca="1">IF(L127&lt;&gt;"","Entregado",IF(NOT(ISNUMBER(IF(Q127&lt;&gt;"",Q127,I127))),"REVISAR TE",IF(AND(ISNUMBER(Resumen!$B$3),IF(Q127&lt;&gt;"",Q127,I127)&lt;Resumen!$B$3),"REVISAR",IF(IF(Q127&lt;&gt;"",Q127,I127)&lt;TODAY(),"ATRASADO",IF(IF(Q127&lt;&gt;"",Q127,I127)-TODAY()&lt;=2,"POR VENCER","EN TIEMPO")))))</f>
        <v>Entregado</v>
      </c>
      <c r="N127" s="23" t="s">
        <v>197</v>
      </c>
      <c r="P127" s="23" t="s">
        <v>315</v>
      </c>
      <c r="Q127" s="28"/>
    </row>
    <row r="128" spans="1:17" ht="16.5" hidden="1" x14ac:dyDescent="0.3">
      <c r="A128" s="23" t="s">
        <v>313</v>
      </c>
      <c r="B128" s="23" t="s">
        <v>52</v>
      </c>
      <c r="C128" s="23" t="s">
        <v>322</v>
      </c>
      <c r="D128" s="24">
        <v>46079</v>
      </c>
      <c r="E128" s="25">
        <v>32</v>
      </c>
      <c r="F128" s="24">
        <v>46079</v>
      </c>
      <c r="G128" s="23" t="s">
        <v>187</v>
      </c>
      <c r="H128" s="26">
        <v>35</v>
      </c>
      <c r="I128" s="24">
        <f t="shared" si="3"/>
        <v>46114</v>
      </c>
      <c r="J128" s="26">
        <f t="shared" ca="1" si="4"/>
        <v>-190</v>
      </c>
      <c r="K128" s="26" t="str">
        <f t="shared" ca="1" si="5"/>
        <v/>
      </c>
      <c r="L128" s="27" t="s">
        <v>1567</v>
      </c>
      <c r="M128" s="26" t="str">
        <f ca="1">IF(L128&lt;&gt;"","Entregado",IF(NOT(ISNUMBER(IF(Q128&lt;&gt;"",Q128,I128))),"REVISAR TE",IF(AND(ISNUMBER(Resumen!$B$3),IF(Q128&lt;&gt;"",Q128,I128)&lt;Resumen!$B$3),"REVISAR",IF(IF(Q128&lt;&gt;"",Q128,I128)&lt;TODAY(),"ATRASADO",IF(IF(Q128&lt;&gt;"",Q128,I128)-TODAY()&lt;=2,"POR VENCER","EN TIEMPO")))))</f>
        <v>Entregado</v>
      </c>
      <c r="N128" s="23" t="s">
        <v>197</v>
      </c>
      <c r="P128" s="23" t="s">
        <v>315</v>
      </c>
      <c r="Q128" s="28"/>
    </row>
    <row r="129" spans="1:17" ht="16.5" hidden="1" x14ac:dyDescent="0.3">
      <c r="A129" s="23" t="s">
        <v>313</v>
      </c>
      <c r="B129" s="23" t="s">
        <v>52</v>
      </c>
      <c r="C129" s="23" t="s">
        <v>323</v>
      </c>
      <c r="D129" s="24">
        <v>46079</v>
      </c>
      <c r="E129" s="25">
        <v>32</v>
      </c>
      <c r="F129" s="24">
        <v>46079</v>
      </c>
      <c r="G129" s="23" t="s">
        <v>187</v>
      </c>
      <c r="H129" s="26">
        <v>35</v>
      </c>
      <c r="I129" s="24">
        <f t="shared" si="3"/>
        <v>46114</v>
      </c>
      <c r="J129" s="26">
        <f t="shared" ca="1" si="4"/>
        <v>-190</v>
      </c>
      <c r="K129" s="26" t="str">
        <f t="shared" ca="1" si="5"/>
        <v/>
      </c>
      <c r="L129" s="27" t="s">
        <v>1567</v>
      </c>
      <c r="M129" s="26" t="str">
        <f ca="1">IF(L129&lt;&gt;"","Entregado",IF(NOT(ISNUMBER(IF(Q129&lt;&gt;"",Q129,I129))),"REVISAR TE",IF(AND(ISNUMBER(Resumen!$B$3),IF(Q129&lt;&gt;"",Q129,I129)&lt;Resumen!$B$3),"REVISAR",IF(IF(Q129&lt;&gt;"",Q129,I129)&lt;TODAY(),"ATRASADO",IF(IF(Q129&lt;&gt;"",Q129,I129)-TODAY()&lt;=2,"POR VENCER","EN TIEMPO")))))</f>
        <v>Entregado</v>
      </c>
      <c r="N129" s="23" t="s">
        <v>197</v>
      </c>
      <c r="P129" s="23" t="s">
        <v>315</v>
      </c>
      <c r="Q129" s="28"/>
    </row>
    <row r="130" spans="1:17" ht="16.5" hidden="1" x14ac:dyDescent="0.3">
      <c r="A130" s="23" t="s">
        <v>313</v>
      </c>
      <c r="B130" s="23" t="s">
        <v>52</v>
      </c>
      <c r="C130" s="23" t="s">
        <v>324</v>
      </c>
      <c r="D130" s="24">
        <v>46079</v>
      </c>
      <c r="E130" s="25">
        <v>17</v>
      </c>
      <c r="F130" s="24">
        <v>46079</v>
      </c>
      <c r="G130" s="23" t="s">
        <v>187</v>
      </c>
      <c r="H130" s="26">
        <v>35</v>
      </c>
      <c r="I130" s="24">
        <f t="shared" ref="I130:I193" si="6">IF(AND(D130&lt;&gt;"",H130&lt;&gt;""),D130+H130,"")</f>
        <v>46114</v>
      </c>
      <c r="J130" s="26">
        <f t="shared" ref="J130:J193" ca="1" si="7">I130-TODAY()</f>
        <v>-190</v>
      </c>
      <c r="K130" s="26" t="str">
        <f t="shared" ref="K130:K193" ca="1" si="8">IF(AND(L130="",ISNUMBER(IF(Q130&lt;&gt;"",Q130,I130))),IF(IF(Q130&lt;&gt;"",Q130,I130)&lt;TODAY(),TODAY()-IF(Q130&lt;&gt;"",Q130,I130),""),"")</f>
        <v/>
      </c>
      <c r="L130" s="27" t="s">
        <v>1567</v>
      </c>
      <c r="M130" s="26" t="str">
        <f ca="1">IF(L130&lt;&gt;"","Entregado",IF(NOT(ISNUMBER(IF(Q130&lt;&gt;"",Q130,I130))),"REVISAR TE",IF(AND(ISNUMBER(Resumen!$B$3),IF(Q130&lt;&gt;"",Q130,I130)&lt;Resumen!$B$3),"REVISAR",IF(IF(Q130&lt;&gt;"",Q130,I130)&lt;TODAY(),"ATRASADO",IF(IF(Q130&lt;&gt;"",Q130,I130)-TODAY()&lt;=2,"POR VENCER","EN TIEMPO")))))</f>
        <v>Entregado</v>
      </c>
      <c r="N130" s="23" t="s">
        <v>197</v>
      </c>
      <c r="P130" s="23" t="s">
        <v>315</v>
      </c>
      <c r="Q130" s="28"/>
    </row>
    <row r="131" spans="1:17" ht="16.5" hidden="1" x14ac:dyDescent="0.3">
      <c r="A131" s="23" t="s">
        <v>313</v>
      </c>
      <c r="B131" s="23" t="s">
        <v>52</v>
      </c>
      <c r="C131" s="23" t="s">
        <v>325</v>
      </c>
      <c r="D131" s="24">
        <v>46079</v>
      </c>
      <c r="E131" s="25">
        <v>17</v>
      </c>
      <c r="F131" s="24">
        <v>46079</v>
      </c>
      <c r="G131" s="23" t="s">
        <v>187</v>
      </c>
      <c r="H131" s="26">
        <v>35</v>
      </c>
      <c r="I131" s="24">
        <f t="shared" si="6"/>
        <v>46114</v>
      </c>
      <c r="J131" s="26">
        <f t="shared" ca="1" si="7"/>
        <v>-190</v>
      </c>
      <c r="K131" s="26" t="str">
        <f t="shared" ca="1" si="8"/>
        <v/>
      </c>
      <c r="L131" s="27" t="s">
        <v>1567</v>
      </c>
      <c r="M131" s="26" t="str">
        <f ca="1">IF(L131&lt;&gt;"","Entregado",IF(NOT(ISNUMBER(IF(Q131&lt;&gt;"",Q131,I131))),"REVISAR TE",IF(AND(ISNUMBER(Resumen!$B$3),IF(Q131&lt;&gt;"",Q131,I131)&lt;Resumen!$B$3),"REVISAR",IF(IF(Q131&lt;&gt;"",Q131,I131)&lt;TODAY(),"ATRASADO",IF(IF(Q131&lt;&gt;"",Q131,I131)-TODAY()&lt;=2,"POR VENCER","EN TIEMPO")))))</f>
        <v>Entregado</v>
      </c>
      <c r="N131" s="23" t="s">
        <v>197</v>
      </c>
      <c r="P131" s="23" t="s">
        <v>315</v>
      </c>
      <c r="Q131" s="28"/>
    </row>
    <row r="132" spans="1:17" ht="16.5" hidden="1" x14ac:dyDescent="0.3">
      <c r="A132" s="23" t="s">
        <v>313</v>
      </c>
      <c r="B132" s="23" t="s">
        <v>52</v>
      </c>
      <c r="C132" s="23" t="s">
        <v>326</v>
      </c>
      <c r="D132" s="24">
        <v>46079</v>
      </c>
      <c r="E132" s="25">
        <v>17</v>
      </c>
      <c r="F132" s="24">
        <v>46079</v>
      </c>
      <c r="G132" s="23" t="s">
        <v>187</v>
      </c>
      <c r="H132" s="26">
        <v>35</v>
      </c>
      <c r="I132" s="24">
        <f t="shared" si="6"/>
        <v>46114</v>
      </c>
      <c r="J132" s="26">
        <f t="shared" ca="1" si="7"/>
        <v>-190</v>
      </c>
      <c r="K132" s="26" t="str">
        <f t="shared" ca="1" si="8"/>
        <v/>
      </c>
      <c r="L132" s="27" t="s">
        <v>1567</v>
      </c>
      <c r="M132" s="26" t="str">
        <f ca="1">IF(L132&lt;&gt;"","Entregado",IF(NOT(ISNUMBER(IF(Q132&lt;&gt;"",Q132,I132))),"REVISAR TE",IF(AND(ISNUMBER(Resumen!$B$3),IF(Q132&lt;&gt;"",Q132,I132)&lt;Resumen!$B$3),"REVISAR",IF(IF(Q132&lt;&gt;"",Q132,I132)&lt;TODAY(),"ATRASADO",IF(IF(Q132&lt;&gt;"",Q132,I132)-TODAY()&lt;=2,"POR VENCER","EN TIEMPO")))))</f>
        <v>Entregado</v>
      </c>
      <c r="N132" s="23" t="s">
        <v>197</v>
      </c>
      <c r="P132" s="23" t="s">
        <v>315</v>
      </c>
      <c r="Q132" s="28"/>
    </row>
    <row r="133" spans="1:17" ht="16.5" hidden="1" x14ac:dyDescent="0.3">
      <c r="A133" s="23" t="s">
        <v>313</v>
      </c>
      <c r="B133" s="23" t="s">
        <v>52</v>
      </c>
      <c r="C133" s="23" t="s">
        <v>327</v>
      </c>
      <c r="D133" s="24">
        <v>46079</v>
      </c>
      <c r="E133" s="25">
        <v>10</v>
      </c>
      <c r="F133" s="24">
        <v>46079</v>
      </c>
      <c r="G133" s="23" t="s">
        <v>187</v>
      </c>
      <c r="H133" s="26">
        <v>35</v>
      </c>
      <c r="I133" s="24">
        <f t="shared" si="6"/>
        <v>46114</v>
      </c>
      <c r="J133" s="26">
        <f t="shared" ca="1" si="7"/>
        <v>-190</v>
      </c>
      <c r="K133" s="26" t="str">
        <f t="shared" ca="1" si="8"/>
        <v/>
      </c>
      <c r="L133" s="27" t="s">
        <v>1567</v>
      </c>
      <c r="M133" s="26" t="str">
        <f ca="1">IF(L133&lt;&gt;"","Entregado",IF(NOT(ISNUMBER(IF(Q133&lt;&gt;"",Q133,I133))),"REVISAR TE",IF(AND(ISNUMBER(Resumen!$B$3),IF(Q133&lt;&gt;"",Q133,I133)&lt;Resumen!$B$3),"REVISAR",IF(IF(Q133&lt;&gt;"",Q133,I133)&lt;TODAY(),"ATRASADO",IF(IF(Q133&lt;&gt;"",Q133,I133)-TODAY()&lt;=2,"POR VENCER","EN TIEMPO")))))</f>
        <v>Entregado</v>
      </c>
      <c r="N133" s="23" t="s">
        <v>197</v>
      </c>
      <c r="P133" s="23" t="s">
        <v>315</v>
      </c>
      <c r="Q133" s="28"/>
    </row>
    <row r="134" spans="1:17" ht="16.5" hidden="1" x14ac:dyDescent="0.3">
      <c r="A134" s="23" t="s">
        <v>313</v>
      </c>
      <c r="B134" s="23" t="s">
        <v>52</v>
      </c>
      <c r="C134" s="23" t="s">
        <v>328</v>
      </c>
      <c r="D134" s="24">
        <v>46079</v>
      </c>
      <c r="E134" s="25">
        <v>14</v>
      </c>
      <c r="F134" s="24">
        <v>46079</v>
      </c>
      <c r="G134" s="23" t="s">
        <v>187</v>
      </c>
      <c r="H134" s="26">
        <v>35</v>
      </c>
      <c r="I134" s="24">
        <f t="shared" si="6"/>
        <v>46114</v>
      </c>
      <c r="J134" s="26">
        <f t="shared" ca="1" si="7"/>
        <v>-190</v>
      </c>
      <c r="K134" s="26" t="str">
        <f t="shared" ca="1" si="8"/>
        <v/>
      </c>
      <c r="L134" s="27" t="s">
        <v>1567</v>
      </c>
      <c r="M134" s="26" t="str">
        <f ca="1">IF(L134&lt;&gt;"","Entregado",IF(NOT(ISNUMBER(IF(Q134&lt;&gt;"",Q134,I134))),"REVISAR TE",IF(AND(ISNUMBER(Resumen!$B$3),IF(Q134&lt;&gt;"",Q134,I134)&lt;Resumen!$B$3),"REVISAR",IF(IF(Q134&lt;&gt;"",Q134,I134)&lt;TODAY(),"ATRASADO",IF(IF(Q134&lt;&gt;"",Q134,I134)-TODAY()&lt;=2,"POR VENCER","EN TIEMPO")))))</f>
        <v>Entregado</v>
      </c>
      <c r="N134" s="23" t="s">
        <v>197</v>
      </c>
      <c r="P134" s="23" t="s">
        <v>315</v>
      </c>
      <c r="Q134" s="28"/>
    </row>
    <row r="135" spans="1:17" ht="16.5" hidden="1" x14ac:dyDescent="0.3">
      <c r="A135" s="23" t="s">
        <v>313</v>
      </c>
      <c r="B135" s="23" t="s">
        <v>52</v>
      </c>
      <c r="C135" s="23" t="s">
        <v>329</v>
      </c>
      <c r="D135" s="24">
        <v>46079</v>
      </c>
      <c r="E135" s="25">
        <v>2</v>
      </c>
      <c r="F135" s="24">
        <v>46079</v>
      </c>
      <c r="G135" s="23" t="s">
        <v>187</v>
      </c>
      <c r="H135" s="26">
        <v>35</v>
      </c>
      <c r="I135" s="24">
        <f t="shared" si="6"/>
        <v>46114</v>
      </c>
      <c r="J135" s="26">
        <f t="shared" ca="1" si="7"/>
        <v>-190</v>
      </c>
      <c r="K135" s="26" t="str">
        <f t="shared" ca="1" si="8"/>
        <v/>
      </c>
      <c r="L135" s="27" t="s">
        <v>1567</v>
      </c>
      <c r="M135" s="26" t="str">
        <f ca="1">IF(L135&lt;&gt;"","Entregado",IF(NOT(ISNUMBER(IF(Q135&lt;&gt;"",Q135,I135))),"REVISAR TE",IF(AND(ISNUMBER(Resumen!$B$3),IF(Q135&lt;&gt;"",Q135,I135)&lt;Resumen!$B$3),"REVISAR",IF(IF(Q135&lt;&gt;"",Q135,I135)&lt;TODAY(),"ATRASADO",IF(IF(Q135&lt;&gt;"",Q135,I135)-TODAY()&lt;=2,"POR VENCER","EN TIEMPO")))))</f>
        <v>Entregado</v>
      </c>
      <c r="N135" s="23" t="s">
        <v>197</v>
      </c>
      <c r="P135" s="23" t="s">
        <v>315</v>
      </c>
      <c r="Q135" s="28"/>
    </row>
    <row r="136" spans="1:17" ht="16.5" hidden="1" x14ac:dyDescent="0.3">
      <c r="A136" s="23" t="s">
        <v>313</v>
      </c>
      <c r="B136" s="23" t="s">
        <v>52</v>
      </c>
      <c r="C136" s="23" t="s">
        <v>330</v>
      </c>
      <c r="D136" s="24">
        <v>46079</v>
      </c>
      <c r="E136" s="25">
        <v>32</v>
      </c>
      <c r="F136" s="24">
        <v>46079</v>
      </c>
      <c r="G136" s="23" t="s">
        <v>187</v>
      </c>
      <c r="H136" s="26">
        <v>35</v>
      </c>
      <c r="I136" s="24">
        <f t="shared" si="6"/>
        <v>46114</v>
      </c>
      <c r="J136" s="26">
        <f t="shared" ca="1" si="7"/>
        <v>-190</v>
      </c>
      <c r="K136" s="26" t="str">
        <f t="shared" ca="1" si="8"/>
        <v/>
      </c>
      <c r="L136" s="27" t="s">
        <v>1567</v>
      </c>
      <c r="M136" s="26" t="str">
        <f ca="1">IF(L136&lt;&gt;"","Entregado",IF(NOT(ISNUMBER(IF(Q136&lt;&gt;"",Q136,I136))),"REVISAR TE",IF(AND(ISNUMBER(Resumen!$B$3),IF(Q136&lt;&gt;"",Q136,I136)&lt;Resumen!$B$3),"REVISAR",IF(IF(Q136&lt;&gt;"",Q136,I136)&lt;TODAY(),"ATRASADO",IF(IF(Q136&lt;&gt;"",Q136,I136)-TODAY()&lt;=2,"POR VENCER","EN TIEMPO")))))</f>
        <v>Entregado</v>
      </c>
      <c r="N136" s="23" t="s">
        <v>197</v>
      </c>
      <c r="P136" s="23" t="s">
        <v>315</v>
      </c>
      <c r="Q136" s="28"/>
    </row>
    <row r="137" spans="1:17" ht="16.5" hidden="1" x14ac:dyDescent="0.3">
      <c r="A137" s="23" t="s">
        <v>313</v>
      </c>
      <c r="B137" s="23" t="s">
        <v>52</v>
      </c>
      <c r="C137" s="23" t="s">
        <v>331</v>
      </c>
      <c r="D137" s="24">
        <v>46079</v>
      </c>
      <c r="E137" s="25">
        <v>2</v>
      </c>
      <c r="F137" s="24">
        <v>46079</v>
      </c>
      <c r="G137" s="23" t="s">
        <v>187</v>
      </c>
      <c r="H137" s="26">
        <v>35</v>
      </c>
      <c r="I137" s="24">
        <f t="shared" si="6"/>
        <v>46114</v>
      </c>
      <c r="J137" s="26">
        <f t="shared" ca="1" si="7"/>
        <v>-190</v>
      </c>
      <c r="K137" s="26" t="str">
        <f t="shared" ca="1" si="8"/>
        <v/>
      </c>
      <c r="L137" s="27" t="s">
        <v>1567</v>
      </c>
      <c r="M137" s="26" t="str">
        <f ca="1">IF(L137&lt;&gt;"","Entregado",IF(NOT(ISNUMBER(IF(Q137&lt;&gt;"",Q137,I137))),"REVISAR TE",IF(AND(ISNUMBER(Resumen!$B$3),IF(Q137&lt;&gt;"",Q137,I137)&lt;Resumen!$B$3),"REVISAR",IF(IF(Q137&lt;&gt;"",Q137,I137)&lt;TODAY(),"ATRASADO",IF(IF(Q137&lt;&gt;"",Q137,I137)-TODAY()&lt;=2,"POR VENCER","EN TIEMPO")))))</f>
        <v>Entregado</v>
      </c>
      <c r="N137" s="23" t="s">
        <v>197</v>
      </c>
      <c r="P137" s="23" t="s">
        <v>315</v>
      </c>
      <c r="Q137" s="28"/>
    </row>
    <row r="138" spans="1:17" ht="16.5" hidden="1" x14ac:dyDescent="0.3">
      <c r="A138" s="23" t="s">
        <v>313</v>
      </c>
      <c r="B138" s="23" t="s">
        <v>52</v>
      </c>
      <c r="C138" s="23" t="s">
        <v>332</v>
      </c>
      <c r="D138" s="24">
        <v>46079</v>
      </c>
      <c r="E138" s="25">
        <v>2</v>
      </c>
      <c r="F138" s="24">
        <v>46079</v>
      </c>
      <c r="G138" s="23" t="s">
        <v>187</v>
      </c>
      <c r="H138" s="26">
        <v>35</v>
      </c>
      <c r="I138" s="24">
        <f t="shared" si="6"/>
        <v>46114</v>
      </c>
      <c r="J138" s="26">
        <f t="shared" ca="1" si="7"/>
        <v>-190</v>
      </c>
      <c r="K138" s="26" t="str">
        <f t="shared" ca="1" si="8"/>
        <v/>
      </c>
      <c r="L138" s="27" t="s">
        <v>1567</v>
      </c>
      <c r="M138" s="26" t="str">
        <f ca="1">IF(L138&lt;&gt;"","Entregado",IF(NOT(ISNUMBER(IF(Q138&lt;&gt;"",Q138,I138))),"REVISAR TE",IF(AND(ISNUMBER(Resumen!$B$3),IF(Q138&lt;&gt;"",Q138,I138)&lt;Resumen!$B$3),"REVISAR",IF(IF(Q138&lt;&gt;"",Q138,I138)&lt;TODAY(),"ATRASADO",IF(IF(Q138&lt;&gt;"",Q138,I138)-TODAY()&lt;=2,"POR VENCER","EN TIEMPO")))))</f>
        <v>Entregado</v>
      </c>
      <c r="N138" s="23" t="s">
        <v>197</v>
      </c>
      <c r="P138" s="23" t="s">
        <v>315</v>
      </c>
      <c r="Q138" s="28"/>
    </row>
    <row r="139" spans="1:17" ht="16.5" hidden="1" x14ac:dyDescent="0.3">
      <c r="A139" s="23" t="s">
        <v>313</v>
      </c>
      <c r="B139" s="23" t="s">
        <v>52</v>
      </c>
      <c r="C139" s="23" t="s">
        <v>333</v>
      </c>
      <c r="D139" s="24">
        <v>46079</v>
      </c>
      <c r="E139" s="25">
        <v>13</v>
      </c>
      <c r="F139" s="24">
        <v>46079</v>
      </c>
      <c r="G139" s="23" t="s">
        <v>187</v>
      </c>
      <c r="H139" s="26">
        <v>35</v>
      </c>
      <c r="I139" s="24">
        <f t="shared" si="6"/>
        <v>46114</v>
      </c>
      <c r="J139" s="26">
        <f t="shared" ca="1" si="7"/>
        <v>-190</v>
      </c>
      <c r="K139" s="26" t="str">
        <f t="shared" ca="1" si="8"/>
        <v/>
      </c>
      <c r="L139" s="27" t="s">
        <v>1567</v>
      </c>
      <c r="M139" s="26" t="str">
        <f ca="1">IF(L139&lt;&gt;"","Entregado",IF(NOT(ISNUMBER(IF(Q139&lt;&gt;"",Q139,I139))),"REVISAR TE",IF(AND(ISNUMBER(Resumen!$B$3),IF(Q139&lt;&gt;"",Q139,I139)&lt;Resumen!$B$3),"REVISAR",IF(IF(Q139&lt;&gt;"",Q139,I139)&lt;TODAY(),"ATRASADO",IF(IF(Q139&lt;&gt;"",Q139,I139)-TODAY()&lt;=2,"POR VENCER","EN TIEMPO")))))</f>
        <v>Entregado</v>
      </c>
      <c r="N139" s="23" t="s">
        <v>197</v>
      </c>
      <c r="P139" s="23" t="s">
        <v>315</v>
      </c>
      <c r="Q139" s="28"/>
    </row>
    <row r="140" spans="1:17" ht="16.5" hidden="1" x14ac:dyDescent="0.3">
      <c r="A140" s="23" t="s">
        <v>313</v>
      </c>
      <c r="B140" s="23" t="s">
        <v>52</v>
      </c>
      <c r="C140" s="23" t="s">
        <v>334</v>
      </c>
      <c r="D140" s="24">
        <v>46079</v>
      </c>
      <c r="E140" s="25">
        <v>11</v>
      </c>
      <c r="F140" s="24">
        <v>46079</v>
      </c>
      <c r="G140" s="23" t="s">
        <v>187</v>
      </c>
      <c r="H140" s="26">
        <v>35</v>
      </c>
      <c r="I140" s="24">
        <f t="shared" si="6"/>
        <v>46114</v>
      </c>
      <c r="J140" s="26">
        <f t="shared" ca="1" si="7"/>
        <v>-190</v>
      </c>
      <c r="K140" s="26" t="str">
        <f t="shared" ca="1" si="8"/>
        <v/>
      </c>
      <c r="L140" s="27" t="s">
        <v>1567</v>
      </c>
      <c r="M140" s="26" t="str">
        <f ca="1">IF(L140&lt;&gt;"","Entregado",IF(NOT(ISNUMBER(IF(Q140&lt;&gt;"",Q140,I140))),"REVISAR TE",IF(AND(ISNUMBER(Resumen!$B$3),IF(Q140&lt;&gt;"",Q140,I140)&lt;Resumen!$B$3),"REVISAR",IF(IF(Q140&lt;&gt;"",Q140,I140)&lt;TODAY(),"ATRASADO",IF(IF(Q140&lt;&gt;"",Q140,I140)-TODAY()&lt;=2,"POR VENCER","EN TIEMPO")))))</f>
        <v>Entregado</v>
      </c>
      <c r="N140" s="23" t="s">
        <v>197</v>
      </c>
      <c r="P140" s="23" t="s">
        <v>315</v>
      </c>
      <c r="Q140" s="28"/>
    </row>
    <row r="141" spans="1:17" ht="16.5" hidden="1" x14ac:dyDescent="0.3">
      <c r="A141" s="23" t="s">
        <v>313</v>
      </c>
      <c r="B141" s="23" t="s">
        <v>52</v>
      </c>
      <c r="C141" s="23" t="s">
        <v>335</v>
      </c>
      <c r="D141" s="24">
        <v>46079</v>
      </c>
      <c r="E141" s="25">
        <v>4</v>
      </c>
      <c r="F141" s="24">
        <v>46079</v>
      </c>
      <c r="G141" s="23" t="s">
        <v>187</v>
      </c>
      <c r="H141" s="26">
        <v>35</v>
      </c>
      <c r="I141" s="24">
        <f t="shared" si="6"/>
        <v>46114</v>
      </c>
      <c r="J141" s="26">
        <f t="shared" ca="1" si="7"/>
        <v>-190</v>
      </c>
      <c r="K141" s="26" t="str">
        <f t="shared" ca="1" si="8"/>
        <v/>
      </c>
      <c r="L141" s="27" t="s">
        <v>1567</v>
      </c>
      <c r="M141" s="26" t="str">
        <f ca="1">IF(L141&lt;&gt;"","Entregado",IF(NOT(ISNUMBER(IF(Q141&lt;&gt;"",Q141,I141))),"REVISAR TE",IF(AND(ISNUMBER(Resumen!$B$3),IF(Q141&lt;&gt;"",Q141,I141)&lt;Resumen!$B$3),"REVISAR",IF(IF(Q141&lt;&gt;"",Q141,I141)&lt;TODAY(),"ATRASADO",IF(IF(Q141&lt;&gt;"",Q141,I141)-TODAY()&lt;=2,"POR VENCER","EN TIEMPO")))))</f>
        <v>Entregado</v>
      </c>
      <c r="N141" s="23" t="s">
        <v>197</v>
      </c>
      <c r="P141" s="23" t="s">
        <v>315</v>
      </c>
      <c r="Q141" s="28"/>
    </row>
    <row r="142" spans="1:17" ht="16.5" hidden="1" x14ac:dyDescent="0.3">
      <c r="A142" s="23" t="s">
        <v>313</v>
      </c>
      <c r="B142" s="23" t="s">
        <v>52</v>
      </c>
      <c r="C142" s="23" t="s">
        <v>336</v>
      </c>
      <c r="D142" s="24">
        <v>46079</v>
      </c>
      <c r="E142" s="25">
        <v>21</v>
      </c>
      <c r="F142" s="24">
        <v>46079</v>
      </c>
      <c r="G142" s="23" t="s">
        <v>187</v>
      </c>
      <c r="H142" s="26">
        <v>35</v>
      </c>
      <c r="I142" s="24">
        <f t="shared" si="6"/>
        <v>46114</v>
      </c>
      <c r="J142" s="26">
        <f t="shared" ca="1" si="7"/>
        <v>-190</v>
      </c>
      <c r="K142" s="26" t="str">
        <f t="shared" ca="1" si="8"/>
        <v/>
      </c>
      <c r="L142" s="27" t="s">
        <v>1567</v>
      </c>
      <c r="M142" s="26" t="str">
        <f ca="1">IF(L142&lt;&gt;"","Entregado",IF(NOT(ISNUMBER(IF(Q142&lt;&gt;"",Q142,I142))),"REVISAR TE",IF(AND(ISNUMBER(Resumen!$B$3),IF(Q142&lt;&gt;"",Q142,I142)&lt;Resumen!$B$3),"REVISAR",IF(IF(Q142&lt;&gt;"",Q142,I142)&lt;TODAY(),"ATRASADO",IF(IF(Q142&lt;&gt;"",Q142,I142)-TODAY()&lt;=2,"POR VENCER","EN TIEMPO")))))</f>
        <v>Entregado</v>
      </c>
      <c r="N142" s="23" t="s">
        <v>197</v>
      </c>
      <c r="P142" s="23" t="s">
        <v>315</v>
      </c>
      <c r="Q142" s="28"/>
    </row>
    <row r="143" spans="1:17" ht="16.5" hidden="1" x14ac:dyDescent="0.3">
      <c r="A143" s="23" t="s">
        <v>313</v>
      </c>
      <c r="B143" s="23" t="s">
        <v>52</v>
      </c>
      <c r="C143" s="23" t="s">
        <v>337</v>
      </c>
      <c r="D143" s="24">
        <v>46079</v>
      </c>
      <c r="E143" s="25">
        <v>11</v>
      </c>
      <c r="F143" s="24">
        <v>46079</v>
      </c>
      <c r="G143" s="23" t="s">
        <v>187</v>
      </c>
      <c r="H143" s="26">
        <v>35</v>
      </c>
      <c r="I143" s="24">
        <f t="shared" si="6"/>
        <v>46114</v>
      </c>
      <c r="J143" s="26">
        <f t="shared" ca="1" si="7"/>
        <v>-190</v>
      </c>
      <c r="K143" s="26" t="str">
        <f t="shared" ca="1" si="8"/>
        <v/>
      </c>
      <c r="L143" s="27" t="s">
        <v>1567</v>
      </c>
      <c r="M143" s="26" t="str">
        <f ca="1">IF(L143&lt;&gt;"","Entregado",IF(NOT(ISNUMBER(IF(Q143&lt;&gt;"",Q143,I143))),"REVISAR TE",IF(AND(ISNUMBER(Resumen!$B$3),IF(Q143&lt;&gt;"",Q143,I143)&lt;Resumen!$B$3),"REVISAR",IF(IF(Q143&lt;&gt;"",Q143,I143)&lt;TODAY(),"ATRASADO",IF(IF(Q143&lt;&gt;"",Q143,I143)-TODAY()&lt;=2,"POR VENCER","EN TIEMPO")))))</f>
        <v>Entregado</v>
      </c>
      <c r="N143" s="23" t="s">
        <v>197</v>
      </c>
      <c r="P143" s="23" t="s">
        <v>315</v>
      </c>
      <c r="Q143" s="28"/>
    </row>
    <row r="144" spans="1:17" ht="16.5" hidden="1" x14ac:dyDescent="0.3">
      <c r="A144" s="23" t="s">
        <v>313</v>
      </c>
      <c r="B144" s="23" t="s">
        <v>52</v>
      </c>
      <c r="C144" s="23" t="s">
        <v>338</v>
      </c>
      <c r="D144" s="24">
        <v>46079</v>
      </c>
      <c r="E144" s="25">
        <v>2</v>
      </c>
      <c r="F144" s="24">
        <v>46079</v>
      </c>
      <c r="G144" s="23" t="s">
        <v>187</v>
      </c>
      <c r="H144" s="26">
        <v>35</v>
      </c>
      <c r="I144" s="24">
        <f t="shared" si="6"/>
        <v>46114</v>
      </c>
      <c r="J144" s="26">
        <f t="shared" ca="1" si="7"/>
        <v>-190</v>
      </c>
      <c r="K144" s="26" t="str">
        <f t="shared" ca="1" si="8"/>
        <v/>
      </c>
      <c r="L144" s="27" t="s">
        <v>1567</v>
      </c>
      <c r="M144" s="26" t="str">
        <f ca="1">IF(L144&lt;&gt;"","Entregado",IF(NOT(ISNUMBER(IF(Q144&lt;&gt;"",Q144,I144))),"REVISAR TE",IF(AND(ISNUMBER(Resumen!$B$3),IF(Q144&lt;&gt;"",Q144,I144)&lt;Resumen!$B$3),"REVISAR",IF(IF(Q144&lt;&gt;"",Q144,I144)&lt;TODAY(),"ATRASADO",IF(IF(Q144&lt;&gt;"",Q144,I144)-TODAY()&lt;=2,"POR VENCER","EN TIEMPO")))))</f>
        <v>Entregado</v>
      </c>
      <c r="N144" s="23" t="s">
        <v>197</v>
      </c>
      <c r="P144" s="23" t="s">
        <v>315</v>
      </c>
      <c r="Q144" s="28"/>
    </row>
    <row r="145" spans="1:17" ht="16.5" hidden="1" x14ac:dyDescent="0.3">
      <c r="A145" s="23" t="s">
        <v>313</v>
      </c>
      <c r="B145" s="23" t="s">
        <v>52</v>
      </c>
      <c r="C145" s="23" t="s">
        <v>339</v>
      </c>
      <c r="D145" s="24">
        <v>46079</v>
      </c>
      <c r="E145" s="25">
        <v>13</v>
      </c>
      <c r="F145" s="24">
        <v>46079</v>
      </c>
      <c r="G145" s="23" t="s">
        <v>187</v>
      </c>
      <c r="H145" s="26">
        <v>35</v>
      </c>
      <c r="I145" s="24">
        <f t="shared" si="6"/>
        <v>46114</v>
      </c>
      <c r="J145" s="26">
        <f t="shared" ca="1" si="7"/>
        <v>-190</v>
      </c>
      <c r="K145" s="26" t="str">
        <f t="shared" ca="1" si="8"/>
        <v/>
      </c>
      <c r="L145" s="27" t="s">
        <v>1567</v>
      </c>
      <c r="M145" s="26" t="str">
        <f ca="1">IF(L145&lt;&gt;"","Entregado",IF(NOT(ISNUMBER(IF(Q145&lt;&gt;"",Q145,I145))),"REVISAR TE",IF(AND(ISNUMBER(Resumen!$B$3),IF(Q145&lt;&gt;"",Q145,I145)&lt;Resumen!$B$3),"REVISAR",IF(IF(Q145&lt;&gt;"",Q145,I145)&lt;TODAY(),"ATRASADO",IF(IF(Q145&lt;&gt;"",Q145,I145)-TODAY()&lt;=2,"POR VENCER","EN TIEMPO")))))</f>
        <v>Entregado</v>
      </c>
      <c r="N145" s="23" t="s">
        <v>197</v>
      </c>
      <c r="P145" s="23" t="s">
        <v>315</v>
      </c>
      <c r="Q145" s="28"/>
    </row>
    <row r="146" spans="1:17" ht="16.5" hidden="1" x14ac:dyDescent="0.3">
      <c r="A146" s="23" t="s">
        <v>340</v>
      </c>
      <c r="B146" s="23" t="s">
        <v>57</v>
      </c>
      <c r="C146" s="23" t="s">
        <v>341</v>
      </c>
      <c r="D146" s="24">
        <v>46080</v>
      </c>
      <c r="E146" s="25">
        <v>4</v>
      </c>
      <c r="F146" s="24">
        <v>46080</v>
      </c>
      <c r="G146" s="23" t="s">
        <v>274</v>
      </c>
      <c r="H146" s="26">
        <v>42</v>
      </c>
      <c r="I146" s="24">
        <f t="shared" si="6"/>
        <v>46122</v>
      </c>
      <c r="J146" s="26">
        <f t="shared" ca="1" si="7"/>
        <v>-182</v>
      </c>
      <c r="K146" s="26" t="str">
        <f t="shared" ca="1" si="8"/>
        <v/>
      </c>
      <c r="L146" s="27" t="s">
        <v>1567</v>
      </c>
      <c r="M146" s="26" t="str">
        <f ca="1">IF(L146&lt;&gt;"","Entregado",IF(NOT(ISNUMBER(IF(Q146&lt;&gt;"",Q146,I146))),"REVISAR TE",IF(AND(ISNUMBER(Resumen!$B$3),IF(Q146&lt;&gt;"",Q146,I146)&lt;Resumen!$B$3),"REVISAR",IF(IF(Q146&lt;&gt;"",Q146,I146)&lt;TODAY(),"ATRASADO",IF(IF(Q146&lt;&gt;"",Q146,I146)-TODAY()&lt;=2,"POR VENCER","EN TIEMPO")))))</f>
        <v>Entregado</v>
      </c>
      <c r="N146" s="23" t="s">
        <v>94</v>
      </c>
      <c r="P146" s="23" t="s">
        <v>342</v>
      </c>
      <c r="Q146" s="28"/>
    </row>
    <row r="147" spans="1:17" ht="16.5" hidden="1" x14ac:dyDescent="0.3">
      <c r="A147" s="23" t="s">
        <v>343</v>
      </c>
      <c r="B147" s="23" t="s">
        <v>55</v>
      </c>
      <c r="C147" s="23" t="s">
        <v>344</v>
      </c>
      <c r="D147" s="24">
        <v>46083</v>
      </c>
      <c r="E147" s="25">
        <v>1</v>
      </c>
      <c r="F147" s="24">
        <v>46083</v>
      </c>
      <c r="G147" s="23"/>
      <c r="H147" s="26"/>
      <c r="I147" s="24" t="str">
        <f t="shared" si="6"/>
        <v/>
      </c>
      <c r="J147" s="26" t="e">
        <f t="shared" ca="1" si="7"/>
        <v>#VALUE!</v>
      </c>
      <c r="K147" s="26" t="str">
        <f t="shared" ca="1" si="8"/>
        <v/>
      </c>
      <c r="L147" s="27" t="s">
        <v>1567</v>
      </c>
      <c r="M147" s="26" t="str">
        <f ca="1">IF(L147&lt;&gt;"","Entregado",IF(NOT(ISNUMBER(IF(Q147&lt;&gt;"",Q147,I147))),"REVISAR TE",IF(AND(ISNUMBER(Resumen!$B$3),IF(Q147&lt;&gt;"",Q147,I147)&lt;Resumen!$B$3),"REVISAR",IF(IF(Q147&lt;&gt;"",Q147,I147)&lt;TODAY(),"ATRASADO",IF(IF(Q147&lt;&gt;"",Q147,I147)-TODAY()&lt;=2,"POR VENCER","EN TIEMPO")))))</f>
        <v>Entregado</v>
      </c>
      <c r="N147" s="23" t="s">
        <v>245</v>
      </c>
      <c r="P147" s="23" t="s">
        <v>345</v>
      </c>
      <c r="Q147" s="28"/>
    </row>
    <row r="148" spans="1:17" ht="16.5" hidden="1" x14ac:dyDescent="0.3">
      <c r="A148" s="23" t="s">
        <v>343</v>
      </c>
      <c r="B148" s="23" t="s">
        <v>55</v>
      </c>
      <c r="C148" s="23" t="s">
        <v>346</v>
      </c>
      <c r="D148" s="24">
        <v>46083</v>
      </c>
      <c r="E148" s="25">
        <v>1</v>
      </c>
      <c r="F148" s="24">
        <v>46083</v>
      </c>
      <c r="G148" s="23"/>
      <c r="H148" s="26"/>
      <c r="I148" s="24" t="str">
        <f t="shared" si="6"/>
        <v/>
      </c>
      <c r="J148" s="26" t="e">
        <f t="shared" ca="1" si="7"/>
        <v>#VALUE!</v>
      </c>
      <c r="K148" s="26" t="str">
        <f t="shared" ca="1" si="8"/>
        <v/>
      </c>
      <c r="L148" s="27" t="s">
        <v>1567</v>
      </c>
      <c r="M148" s="26" t="str">
        <f ca="1">IF(L148&lt;&gt;"","Entregado",IF(NOT(ISNUMBER(IF(Q148&lt;&gt;"",Q148,I148))),"REVISAR TE",IF(AND(ISNUMBER(Resumen!$B$3),IF(Q148&lt;&gt;"",Q148,I148)&lt;Resumen!$B$3),"REVISAR",IF(IF(Q148&lt;&gt;"",Q148,I148)&lt;TODAY(),"ATRASADO",IF(IF(Q148&lt;&gt;"",Q148,I148)-TODAY()&lt;=2,"POR VENCER","EN TIEMPO")))))</f>
        <v>Entregado</v>
      </c>
      <c r="N148" s="23" t="s">
        <v>245</v>
      </c>
      <c r="P148" s="23" t="s">
        <v>345</v>
      </c>
      <c r="Q148" s="28"/>
    </row>
    <row r="149" spans="1:17" ht="16.5" hidden="1" x14ac:dyDescent="0.3">
      <c r="A149" s="23" t="s">
        <v>343</v>
      </c>
      <c r="B149" s="23" t="s">
        <v>55</v>
      </c>
      <c r="C149" s="23" t="s">
        <v>347</v>
      </c>
      <c r="D149" s="24">
        <v>46083</v>
      </c>
      <c r="E149" s="25">
        <v>1</v>
      </c>
      <c r="F149" s="24">
        <v>46083</v>
      </c>
      <c r="G149" s="23"/>
      <c r="H149" s="26"/>
      <c r="I149" s="24" t="str">
        <f t="shared" si="6"/>
        <v/>
      </c>
      <c r="J149" s="26" t="e">
        <f t="shared" ca="1" si="7"/>
        <v>#VALUE!</v>
      </c>
      <c r="K149" s="26" t="str">
        <f t="shared" ca="1" si="8"/>
        <v/>
      </c>
      <c r="L149" s="27" t="s">
        <v>1567</v>
      </c>
      <c r="M149" s="26" t="str">
        <f ca="1">IF(L149&lt;&gt;"","Entregado",IF(NOT(ISNUMBER(IF(Q149&lt;&gt;"",Q149,I149))),"REVISAR TE",IF(AND(ISNUMBER(Resumen!$B$3),IF(Q149&lt;&gt;"",Q149,I149)&lt;Resumen!$B$3),"REVISAR",IF(IF(Q149&lt;&gt;"",Q149,I149)&lt;TODAY(),"ATRASADO",IF(IF(Q149&lt;&gt;"",Q149,I149)-TODAY()&lt;=2,"POR VENCER","EN TIEMPO")))))</f>
        <v>Entregado</v>
      </c>
      <c r="N149" s="23" t="s">
        <v>245</v>
      </c>
      <c r="P149" s="23" t="s">
        <v>345</v>
      </c>
      <c r="Q149" s="28"/>
    </row>
    <row r="150" spans="1:17" ht="16.5" hidden="1" x14ac:dyDescent="0.3">
      <c r="A150" s="23" t="s">
        <v>343</v>
      </c>
      <c r="B150" s="23" t="s">
        <v>55</v>
      </c>
      <c r="C150" s="23" t="s">
        <v>348</v>
      </c>
      <c r="D150" s="24">
        <v>46083</v>
      </c>
      <c r="E150" s="25">
        <v>1</v>
      </c>
      <c r="F150" s="24">
        <v>46083</v>
      </c>
      <c r="G150" s="23"/>
      <c r="H150" s="26"/>
      <c r="I150" s="24" t="str">
        <f t="shared" si="6"/>
        <v/>
      </c>
      <c r="J150" s="26" t="e">
        <f t="shared" ca="1" si="7"/>
        <v>#VALUE!</v>
      </c>
      <c r="K150" s="26" t="str">
        <f t="shared" ca="1" si="8"/>
        <v/>
      </c>
      <c r="L150" s="27" t="s">
        <v>1567</v>
      </c>
      <c r="M150" s="26" t="str">
        <f ca="1">IF(L150&lt;&gt;"","Entregado",IF(NOT(ISNUMBER(IF(Q150&lt;&gt;"",Q150,I150))),"REVISAR TE",IF(AND(ISNUMBER(Resumen!$B$3),IF(Q150&lt;&gt;"",Q150,I150)&lt;Resumen!$B$3),"REVISAR",IF(IF(Q150&lt;&gt;"",Q150,I150)&lt;TODAY(),"ATRASADO",IF(IF(Q150&lt;&gt;"",Q150,I150)-TODAY()&lt;=2,"POR VENCER","EN TIEMPO")))))</f>
        <v>Entregado</v>
      </c>
      <c r="N150" s="23" t="s">
        <v>245</v>
      </c>
      <c r="P150" s="23" t="s">
        <v>345</v>
      </c>
      <c r="Q150" s="28"/>
    </row>
    <row r="151" spans="1:17" ht="16.5" hidden="1" x14ac:dyDescent="0.3">
      <c r="A151" s="23" t="s">
        <v>343</v>
      </c>
      <c r="B151" s="23" t="s">
        <v>55</v>
      </c>
      <c r="C151" s="23" t="s">
        <v>349</v>
      </c>
      <c r="D151" s="24">
        <v>46083</v>
      </c>
      <c r="E151" s="25">
        <v>1</v>
      </c>
      <c r="F151" s="24">
        <v>46083</v>
      </c>
      <c r="G151" s="23"/>
      <c r="H151" s="26"/>
      <c r="I151" s="24" t="str">
        <f t="shared" si="6"/>
        <v/>
      </c>
      <c r="J151" s="26" t="e">
        <f t="shared" ca="1" si="7"/>
        <v>#VALUE!</v>
      </c>
      <c r="K151" s="26" t="str">
        <f t="shared" ca="1" si="8"/>
        <v/>
      </c>
      <c r="L151" s="27" t="s">
        <v>1567</v>
      </c>
      <c r="M151" s="26" t="str">
        <f ca="1">IF(L151&lt;&gt;"","Entregado",IF(NOT(ISNUMBER(IF(Q151&lt;&gt;"",Q151,I151))),"REVISAR TE",IF(AND(ISNUMBER(Resumen!$B$3),IF(Q151&lt;&gt;"",Q151,I151)&lt;Resumen!$B$3),"REVISAR",IF(IF(Q151&lt;&gt;"",Q151,I151)&lt;TODAY(),"ATRASADO",IF(IF(Q151&lt;&gt;"",Q151,I151)-TODAY()&lt;=2,"POR VENCER","EN TIEMPO")))))</f>
        <v>Entregado</v>
      </c>
      <c r="N151" s="23" t="s">
        <v>245</v>
      </c>
      <c r="P151" s="23" t="s">
        <v>345</v>
      </c>
      <c r="Q151" s="28"/>
    </row>
    <row r="152" spans="1:17" ht="16.5" hidden="1" x14ac:dyDescent="0.3">
      <c r="A152" s="23" t="s">
        <v>343</v>
      </c>
      <c r="B152" s="23" t="s">
        <v>55</v>
      </c>
      <c r="C152" s="23" t="s">
        <v>350</v>
      </c>
      <c r="D152" s="24">
        <v>46083</v>
      </c>
      <c r="E152" s="25">
        <v>4</v>
      </c>
      <c r="F152" s="24">
        <v>46083</v>
      </c>
      <c r="G152" s="23"/>
      <c r="H152" s="26"/>
      <c r="I152" s="24" t="str">
        <f t="shared" si="6"/>
        <v/>
      </c>
      <c r="J152" s="26" t="e">
        <f t="shared" ca="1" si="7"/>
        <v>#VALUE!</v>
      </c>
      <c r="K152" s="26" t="str">
        <f t="shared" ca="1" si="8"/>
        <v/>
      </c>
      <c r="L152" s="27" t="s">
        <v>1567</v>
      </c>
      <c r="M152" s="26" t="str">
        <f ca="1">IF(L152&lt;&gt;"","Entregado",IF(NOT(ISNUMBER(IF(Q152&lt;&gt;"",Q152,I152))),"REVISAR TE",IF(AND(ISNUMBER(Resumen!$B$3),IF(Q152&lt;&gt;"",Q152,I152)&lt;Resumen!$B$3),"REVISAR",IF(IF(Q152&lt;&gt;"",Q152,I152)&lt;TODAY(),"ATRASADO",IF(IF(Q152&lt;&gt;"",Q152,I152)-TODAY()&lt;=2,"POR VENCER","EN TIEMPO")))))</f>
        <v>Entregado</v>
      </c>
      <c r="N152" s="23" t="s">
        <v>98</v>
      </c>
      <c r="P152" s="23" t="s">
        <v>345</v>
      </c>
      <c r="Q152" s="28"/>
    </row>
    <row r="153" spans="1:17" ht="16.5" hidden="1" x14ac:dyDescent="0.3">
      <c r="A153" s="23" t="s">
        <v>343</v>
      </c>
      <c r="B153" s="23" t="s">
        <v>55</v>
      </c>
      <c r="C153" s="23" t="s">
        <v>351</v>
      </c>
      <c r="D153" s="24">
        <v>46083</v>
      </c>
      <c r="E153" s="25">
        <v>1</v>
      </c>
      <c r="F153" s="24">
        <v>46083</v>
      </c>
      <c r="G153" s="23"/>
      <c r="H153" s="26"/>
      <c r="I153" s="24" t="str">
        <f t="shared" si="6"/>
        <v/>
      </c>
      <c r="J153" s="26" t="e">
        <f t="shared" ca="1" si="7"/>
        <v>#VALUE!</v>
      </c>
      <c r="K153" s="26" t="str">
        <f t="shared" ca="1" si="8"/>
        <v/>
      </c>
      <c r="L153" s="27" t="s">
        <v>1567</v>
      </c>
      <c r="M153" s="26" t="str">
        <f ca="1">IF(L153&lt;&gt;"","Entregado",IF(NOT(ISNUMBER(IF(Q153&lt;&gt;"",Q153,I153))),"REVISAR TE",IF(AND(ISNUMBER(Resumen!$B$3),IF(Q153&lt;&gt;"",Q153,I153)&lt;Resumen!$B$3),"REVISAR",IF(IF(Q153&lt;&gt;"",Q153,I153)&lt;TODAY(),"ATRASADO",IF(IF(Q153&lt;&gt;"",Q153,I153)-TODAY()&lt;=2,"POR VENCER","EN TIEMPO")))))</f>
        <v>Entregado</v>
      </c>
      <c r="N153" s="23" t="s">
        <v>245</v>
      </c>
      <c r="P153" s="23" t="s">
        <v>345</v>
      </c>
      <c r="Q153" s="28"/>
    </row>
    <row r="154" spans="1:17" ht="16.5" hidden="1" x14ac:dyDescent="0.3">
      <c r="A154" s="23" t="s">
        <v>343</v>
      </c>
      <c r="B154" s="23" t="s">
        <v>55</v>
      </c>
      <c r="C154" s="23" t="s">
        <v>352</v>
      </c>
      <c r="D154" s="24">
        <v>46083</v>
      </c>
      <c r="E154" s="25">
        <v>4</v>
      </c>
      <c r="F154" s="24">
        <v>46083</v>
      </c>
      <c r="G154" s="23"/>
      <c r="H154" s="26"/>
      <c r="I154" s="24" t="str">
        <f t="shared" si="6"/>
        <v/>
      </c>
      <c r="J154" s="26" t="e">
        <f t="shared" ca="1" si="7"/>
        <v>#VALUE!</v>
      </c>
      <c r="K154" s="26" t="str">
        <f t="shared" ca="1" si="8"/>
        <v/>
      </c>
      <c r="L154" s="27" t="s">
        <v>1567</v>
      </c>
      <c r="M154" s="26" t="str">
        <f ca="1">IF(L154&lt;&gt;"","Entregado",IF(NOT(ISNUMBER(IF(Q154&lt;&gt;"",Q154,I154))),"REVISAR TE",IF(AND(ISNUMBER(Resumen!$B$3),IF(Q154&lt;&gt;"",Q154,I154)&lt;Resumen!$B$3),"REVISAR",IF(IF(Q154&lt;&gt;"",Q154,I154)&lt;TODAY(),"ATRASADO",IF(IF(Q154&lt;&gt;"",Q154,I154)-TODAY()&lt;=2,"POR VENCER","EN TIEMPO")))))</f>
        <v>Entregado</v>
      </c>
      <c r="N154" s="23" t="s">
        <v>98</v>
      </c>
      <c r="P154" s="23" t="s">
        <v>345</v>
      </c>
      <c r="Q154" s="28"/>
    </row>
    <row r="155" spans="1:17" ht="16.5" hidden="1" x14ac:dyDescent="0.3">
      <c r="A155" s="23" t="s">
        <v>343</v>
      </c>
      <c r="B155" s="23" t="s">
        <v>55</v>
      </c>
      <c r="C155" s="23" t="s">
        <v>353</v>
      </c>
      <c r="D155" s="24">
        <v>46083</v>
      </c>
      <c r="E155" s="25">
        <v>1</v>
      </c>
      <c r="F155" s="24">
        <v>46083</v>
      </c>
      <c r="G155" s="23"/>
      <c r="H155" s="26"/>
      <c r="I155" s="24" t="str">
        <f t="shared" si="6"/>
        <v/>
      </c>
      <c r="J155" s="26" t="e">
        <f t="shared" ca="1" si="7"/>
        <v>#VALUE!</v>
      </c>
      <c r="K155" s="26" t="str">
        <f t="shared" ca="1" si="8"/>
        <v/>
      </c>
      <c r="L155" s="27" t="s">
        <v>1567</v>
      </c>
      <c r="M155" s="26" t="str">
        <f ca="1">IF(L155&lt;&gt;"","Entregado",IF(NOT(ISNUMBER(IF(Q155&lt;&gt;"",Q155,I155))),"REVISAR TE",IF(AND(ISNUMBER(Resumen!$B$3),IF(Q155&lt;&gt;"",Q155,I155)&lt;Resumen!$B$3),"REVISAR",IF(IF(Q155&lt;&gt;"",Q155,I155)&lt;TODAY(),"ATRASADO",IF(IF(Q155&lt;&gt;"",Q155,I155)-TODAY()&lt;=2,"POR VENCER","EN TIEMPO")))))</f>
        <v>Entregado</v>
      </c>
      <c r="N155" s="23" t="s">
        <v>245</v>
      </c>
      <c r="P155" s="23" t="s">
        <v>345</v>
      </c>
      <c r="Q155" s="28"/>
    </row>
    <row r="156" spans="1:17" ht="16.5" hidden="1" x14ac:dyDescent="0.3">
      <c r="A156" s="23" t="s">
        <v>343</v>
      </c>
      <c r="B156" s="23" t="s">
        <v>55</v>
      </c>
      <c r="C156" s="23" t="s">
        <v>354</v>
      </c>
      <c r="D156" s="24">
        <v>46083</v>
      </c>
      <c r="E156" s="25">
        <v>4</v>
      </c>
      <c r="F156" s="24">
        <v>46083</v>
      </c>
      <c r="G156" s="23"/>
      <c r="H156" s="26"/>
      <c r="I156" s="24" t="str">
        <f t="shared" si="6"/>
        <v/>
      </c>
      <c r="J156" s="26" t="e">
        <f t="shared" ca="1" si="7"/>
        <v>#VALUE!</v>
      </c>
      <c r="K156" s="26" t="str">
        <f t="shared" ca="1" si="8"/>
        <v/>
      </c>
      <c r="L156" s="27" t="s">
        <v>1567</v>
      </c>
      <c r="M156" s="26" t="str">
        <f ca="1">IF(L156&lt;&gt;"","Entregado",IF(NOT(ISNUMBER(IF(Q156&lt;&gt;"",Q156,I156))),"REVISAR TE",IF(AND(ISNUMBER(Resumen!$B$3),IF(Q156&lt;&gt;"",Q156,I156)&lt;Resumen!$B$3),"REVISAR",IF(IF(Q156&lt;&gt;"",Q156,I156)&lt;TODAY(),"ATRASADO",IF(IF(Q156&lt;&gt;"",Q156,I156)-TODAY()&lt;=2,"POR VENCER","EN TIEMPO")))))</f>
        <v>Entregado</v>
      </c>
      <c r="N156" s="23" t="s">
        <v>98</v>
      </c>
      <c r="P156" s="23" t="s">
        <v>345</v>
      </c>
      <c r="Q156" s="28"/>
    </row>
    <row r="157" spans="1:17" ht="16.5" hidden="1" x14ac:dyDescent="0.3">
      <c r="A157" s="23" t="s">
        <v>343</v>
      </c>
      <c r="B157" s="23" t="s">
        <v>55</v>
      </c>
      <c r="C157" s="23" t="s">
        <v>355</v>
      </c>
      <c r="D157" s="24">
        <v>46083</v>
      </c>
      <c r="E157" s="25">
        <v>1</v>
      </c>
      <c r="F157" s="24">
        <v>46083</v>
      </c>
      <c r="G157" s="23"/>
      <c r="H157" s="26"/>
      <c r="I157" s="24" t="str">
        <f t="shared" si="6"/>
        <v/>
      </c>
      <c r="J157" s="26" t="e">
        <f t="shared" ca="1" si="7"/>
        <v>#VALUE!</v>
      </c>
      <c r="K157" s="26" t="str">
        <f t="shared" ca="1" si="8"/>
        <v/>
      </c>
      <c r="L157" s="27" t="s">
        <v>1567</v>
      </c>
      <c r="M157" s="26" t="str">
        <f ca="1">IF(L157&lt;&gt;"","Entregado",IF(NOT(ISNUMBER(IF(Q157&lt;&gt;"",Q157,I157))),"REVISAR TE",IF(AND(ISNUMBER(Resumen!$B$3),IF(Q157&lt;&gt;"",Q157,I157)&lt;Resumen!$B$3),"REVISAR",IF(IF(Q157&lt;&gt;"",Q157,I157)&lt;TODAY(),"ATRASADO",IF(IF(Q157&lt;&gt;"",Q157,I157)-TODAY()&lt;=2,"POR VENCER","EN TIEMPO")))))</f>
        <v>Entregado</v>
      </c>
      <c r="N157" s="23" t="s">
        <v>245</v>
      </c>
      <c r="P157" s="23" t="s">
        <v>345</v>
      </c>
      <c r="Q157" s="28"/>
    </row>
    <row r="158" spans="1:17" ht="16.5" hidden="1" x14ac:dyDescent="0.3">
      <c r="A158" s="23" t="s">
        <v>343</v>
      </c>
      <c r="B158" s="23" t="s">
        <v>55</v>
      </c>
      <c r="C158" s="23" t="s">
        <v>356</v>
      </c>
      <c r="D158" s="24">
        <v>46083</v>
      </c>
      <c r="E158" s="25">
        <v>4</v>
      </c>
      <c r="F158" s="24">
        <v>46083</v>
      </c>
      <c r="G158" s="23"/>
      <c r="H158" s="26"/>
      <c r="I158" s="24" t="str">
        <f t="shared" si="6"/>
        <v/>
      </c>
      <c r="J158" s="26" t="e">
        <f t="shared" ca="1" si="7"/>
        <v>#VALUE!</v>
      </c>
      <c r="K158" s="26" t="str">
        <f t="shared" ca="1" si="8"/>
        <v/>
      </c>
      <c r="L158" s="27" t="s">
        <v>1567</v>
      </c>
      <c r="M158" s="26" t="str">
        <f ca="1">IF(L158&lt;&gt;"","Entregado",IF(NOT(ISNUMBER(IF(Q158&lt;&gt;"",Q158,I158))),"REVISAR TE",IF(AND(ISNUMBER(Resumen!$B$3),IF(Q158&lt;&gt;"",Q158,I158)&lt;Resumen!$B$3),"REVISAR",IF(IF(Q158&lt;&gt;"",Q158,I158)&lt;TODAY(),"ATRASADO",IF(IF(Q158&lt;&gt;"",Q158,I158)-TODAY()&lt;=2,"POR VENCER","EN TIEMPO")))))</f>
        <v>Entregado</v>
      </c>
      <c r="N158" s="23" t="s">
        <v>98</v>
      </c>
      <c r="P158" s="23" t="s">
        <v>345</v>
      </c>
      <c r="Q158" s="28"/>
    </row>
    <row r="159" spans="1:17" ht="16.5" hidden="1" x14ac:dyDescent="0.3">
      <c r="A159" s="23" t="s">
        <v>343</v>
      </c>
      <c r="B159" s="23" t="s">
        <v>55</v>
      </c>
      <c r="C159" s="23" t="s">
        <v>357</v>
      </c>
      <c r="D159" s="24">
        <v>46083</v>
      </c>
      <c r="E159" s="25">
        <v>1</v>
      </c>
      <c r="F159" s="24">
        <v>46083</v>
      </c>
      <c r="G159" s="23"/>
      <c r="H159" s="26"/>
      <c r="I159" s="24" t="str">
        <f t="shared" si="6"/>
        <v/>
      </c>
      <c r="J159" s="26" t="e">
        <f t="shared" ca="1" si="7"/>
        <v>#VALUE!</v>
      </c>
      <c r="K159" s="26" t="str">
        <f t="shared" ca="1" si="8"/>
        <v/>
      </c>
      <c r="L159" s="27" t="s">
        <v>1567</v>
      </c>
      <c r="M159" s="26" t="str">
        <f ca="1">IF(L159&lt;&gt;"","Entregado",IF(NOT(ISNUMBER(IF(Q159&lt;&gt;"",Q159,I159))),"REVISAR TE",IF(AND(ISNUMBER(Resumen!$B$3),IF(Q159&lt;&gt;"",Q159,I159)&lt;Resumen!$B$3),"REVISAR",IF(IF(Q159&lt;&gt;"",Q159,I159)&lt;TODAY(),"ATRASADO",IF(IF(Q159&lt;&gt;"",Q159,I159)-TODAY()&lt;=2,"POR VENCER","EN TIEMPO")))))</f>
        <v>Entregado</v>
      </c>
      <c r="N159" s="23" t="s">
        <v>245</v>
      </c>
      <c r="P159" s="23" t="s">
        <v>345</v>
      </c>
      <c r="Q159" s="28"/>
    </row>
    <row r="160" spans="1:17" ht="16.5" hidden="1" x14ac:dyDescent="0.3">
      <c r="A160" s="23" t="s">
        <v>343</v>
      </c>
      <c r="B160" s="23" t="s">
        <v>55</v>
      </c>
      <c r="C160" s="23" t="s">
        <v>358</v>
      </c>
      <c r="D160" s="24">
        <v>46083</v>
      </c>
      <c r="E160" s="25">
        <v>4</v>
      </c>
      <c r="F160" s="24">
        <v>46083</v>
      </c>
      <c r="G160" s="23"/>
      <c r="H160" s="26"/>
      <c r="I160" s="24" t="str">
        <f t="shared" si="6"/>
        <v/>
      </c>
      <c r="J160" s="26" t="e">
        <f t="shared" ca="1" si="7"/>
        <v>#VALUE!</v>
      </c>
      <c r="K160" s="26" t="str">
        <f t="shared" ca="1" si="8"/>
        <v/>
      </c>
      <c r="L160" s="27" t="s">
        <v>1567</v>
      </c>
      <c r="M160" s="26" t="str">
        <f ca="1">IF(L160&lt;&gt;"","Entregado",IF(NOT(ISNUMBER(IF(Q160&lt;&gt;"",Q160,I160))),"REVISAR TE",IF(AND(ISNUMBER(Resumen!$B$3),IF(Q160&lt;&gt;"",Q160,I160)&lt;Resumen!$B$3),"REVISAR",IF(IF(Q160&lt;&gt;"",Q160,I160)&lt;TODAY(),"ATRASADO",IF(IF(Q160&lt;&gt;"",Q160,I160)-TODAY()&lt;=2,"POR VENCER","EN TIEMPO")))))</f>
        <v>Entregado</v>
      </c>
      <c r="N160" s="23" t="s">
        <v>98</v>
      </c>
      <c r="P160" s="23" t="s">
        <v>345</v>
      </c>
      <c r="Q160" s="28"/>
    </row>
    <row r="161" spans="1:17" ht="16.5" hidden="1" x14ac:dyDescent="0.3">
      <c r="A161" s="23" t="s">
        <v>343</v>
      </c>
      <c r="B161" s="23" t="s">
        <v>55</v>
      </c>
      <c r="C161" s="23" t="s">
        <v>359</v>
      </c>
      <c r="D161" s="24">
        <v>46083</v>
      </c>
      <c r="E161" s="25">
        <v>1</v>
      </c>
      <c r="F161" s="24">
        <v>46083</v>
      </c>
      <c r="G161" s="23"/>
      <c r="H161" s="26"/>
      <c r="I161" s="24" t="str">
        <f t="shared" si="6"/>
        <v/>
      </c>
      <c r="J161" s="26" t="e">
        <f t="shared" ca="1" si="7"/>
        <v>#VALUE!</v>
      </c>
      <c r="K161" s="26" t="str">
        <f t="shared" ca="1" si="8"/>
        <v/>
      </c>
      <c r="L161" s="27" t="s">
        <v>1567</v>
      </c>
      <c r="M161" s="26" t="str">
        <f ca="1">IF(L161&lt;&gt;"","Entregado",IF(NOT(ISNUMBER(IF(Q161&lt;&gt;"",Q161,I161))),"REVISAR TE",IF(AND(ISNUMBER(Resumen!$B$3),IF(Q161&lt;&gt;"",Q161,I161)&lt;Resumen!$B$3),"REVISAR",IF(IF(Q161&lt;&gt;"",Q161,I161)&lt;TODAY(),"ATRASADO",IF(IF(Q161&lt;&gt;"",Q161,I161)-TODAY()&lt;=2,"POR VENCER","EN TIEMPO")))))</f>
        <v>Entregado</v>
      </c>
      <c r="N161" s="23" t="s">
        <v>245</v>
      </c>
      <c r="P161" s="23" t="s">
        <v>345</v>
      </c>
      <c r="Q161" s="28"/>
    </row>
    <row r="162" spans="1:17" ht="16.5" hidden="1" x14ac:dyDescent="0.3">
      <c r="A162" s="23" t="s">
        <v>360</v>
      </c>
      <c r="B162" s="23" t="s">
        <v>54</v>
      </c>
      <c r="C162" s="23" t="s">
        <v>362</v>
      </c>
      <c r="D162" s="24">
        <v>46084</v>
      </c>
      <c r="E162" s="25">
        <v>1</v>
      </c>
      <c r="F162" s="24">
        <v>46084</v>
      </c>
      <c r="G162" s="23" t="s">
        <v>361</v>
      </c>
      <c r="H162" s="26">
        <v>49</v>
      </c>
      <c r="I162" s="24">
        <f t="shared" si="6"/>
        <v>46133</v>
      </c>
      <c r="J162" s="26">
        <f t="shared" ca="1" si="7"/>
        <v>-171</v>
      </c>
      <c r="K162" s="26" t="str">
        <f t="shared" ca="1" si="8"/>
        <v/>
      </c>
      <c r="L162" s="27" t="s">
        <v>1567</v>
      </c>
      <c r="M162" s="26" t="str">
        <f ca="1">IF(L162&lt;&gt;"","Entregado",IF(NOT(ISNUMBER(IF(Q162&lt;&gt;"",Q162,I162))),"REVISAR TE",IF(AND(ISNUMBER(Resumen!$B$3),IF(Q162&lt;&gt;"",Q162,I162)&lt;Resumen!$B$3),"REVISAR",IF(IF(Q162&lt;&gt;"",Q162,I162)&lt;TODAY(),"ATRASADO",IF(IF(Q162&lt;&gt;"",Q162,I162)-TODAY()&lt;=2,"POR VENCER","EN TIEMPO")))))</f>
        <v>Entregado</v>
      </c>
      <c r="N162" s="23" t="s">
        <v>84</v>
      </c>
      <c r="P162" s="23" t="s">
        <v>363</v>
      </c>
      <c r="Q162" s="28"/>
    </row>
    <row r="163" spans="1:17" ht="16.5" hidden="1" x14ac:dyDescent="0.3">
      <c r="A163" s="23" t="s">
        <v>360</v>
      </c>
      <c r="B163" s="23" t="s">
        <v>54</v>
      </c>
      <c r="C163" s="23" t="s">
        <v>364</v>
      </c>
      <c r="D163" s="24">
        <v>46084</v>
      </c>
      <c r="E163" s="25">
        <v>1</v>
      </c>
      <c r="F163" s="24">
        <v>46084</v>
      </c>
      <c r="G163" s="23" t="s">
        <v>361</v>
      </c>
      <c r="H163" s="26">
        <v>49</v>
      </c>
      <c r="I163" s="24">
        <f t="shared" si="6"/>
        <v>46133</v>
      </c>
      <c r="J163" s="26">
        <f t="shared" ca="1" si="7"/>
        <v>-171</v>
      </c>
      <c r="K163" s="26" t="str">
        <f t="shared" ca="1" si="8"/>
        <v/>
      </c>
      <c r="L163" s="27" t="s">
        <v>1567</v>
      </c>
      <c r="M163" s="26" t="str">
        <f ca="1">IF(L163&lt;&gt;"","Entregado",IF(NOT(ISNUMBER(IF(Q163&lt;&gt;"",Q163,I163))),"REVISAR TE",IF(AND(ISNUMBER(Resumen!$B$3),IF(Q163&lt;&gt;"",Q163,I163)&lt;Resumen!$B$3),"REVISAR",IF(IF(Q163&lt;&gt;"",Q163,I163)&lt;TODAY(),"ATRASADO",IF(IF(Q163&lt;&gt;"",Q163,I163)-TODAY()&lt;=2,"POR VENCER","EN TIEMPO")))))</f>
        <v>Entregado</v>
      </c>
      <c r="N163" s="23" t="s">
        <v>84</v>
      </c>
      <c r="P163" s="23" t="s">
        <v>363</v>
      </c>
      <c r="Q163" s="28"/>
    </row>
    <row r="164" spans="1:17" ht="16.5" hidden="1" x14ac:dyDescent="0.3">
      <c r="A164" s="23" t="s">
        <v>360</v>
      </c>
      <c r="B164" s="23" t="s">
        <v>54</v>
      </c>
      <c r="C164" s="23" t="s">
        <v>365</v>
      </c>
      <c r="D164" s="24">
        <v>46084</v>
      </c>
      <c r="E164" s="25">
        <v>1</v>
      </c>
      <c r="F164" s="24">
        <v>46084</v>
      </c>
      <c r="G164" s="23" t="s">
        <v>361</v>
      </c>
      <c r="H164" s="26">
        <v>49</v>
      </c>
      <c r="I164" s="24">
        <f t="shared" si="6"/>
        <v>46133</v>
      </c>
      <c r="J164" s="26">
        <f t="shared" ca="1" si="7"/>
        <v>-171</v>
      </c>
      <c r="K164" s="26" t="str">
        <f t="shared" ca="1" si="8"/>
        <v/>
      </c>
      <c r="L164" s="27" t="s">
        <v>1567</v>
      </c>
      <c r="M164" s="26" t="str">
        <f ca="1">IF(L164&lt;&gt;"","Entregado",IF(NOT(ISNUMBER(IF(Q164&lt;&gt;"",Q164,I164))),"REVISAR TE",IF(AND(ISNUMBER(Resumen!$B$3),IF(Q164&lt;&gt;"",Q164,I164)&lt;Resumen!$B$3),"REVISAR",IF(IF(Q164&lt;&gt;"",Q164,I164)&lt;TODAY(),"ATRASADO",IF(IF(Q164&lt;&gt;"",Q164,I164)-TODAY()&lt;=2,"POR VENCER","EN TIEMPO")))))</f>
        <v>Entregado</v>
      </c>
      <c r="N164" s="23" t="s">
        <v>84</v>
      </c>
      <c r="P164" s="23" t="s">
        <v>363</v>
      </c>
      <c r="Q164" s="28"/>
    </row>
    <row r="165" spans="1:17" ht="16.5" hidden="1" x14ac:dyDescent="0.3">
      <c r="A165" s="23" t="s">
        <v>360</v>
      </c>
      <c r="B165" s="23" t="s">
        <v>54</v>
      </c>
      <c r="C165" s="23" t="s">
        <v>366</v>
      </c>
      <c r="D165" s="24">
        <v>46084</v>
      </c>
      <c r="E165" s="25">
        <v>1</v>
      </c>
      <c r="F165" s="24">
        <v>46084</v>
      </c>
      <c r="G165" s="23" t="s">
        <v>361</v>
      </c>
      <c r="H165" s="26">
        <v>49</v>
      </c>
      <c r="I165" s="24">
        <f t="shared" si="6"/>
        <v>46133</v>
      </c>
      <c r="J165" s="26">
        <f t="shared" ca="1" si="7"/>
        <v>-171</v>
      </c>
      <c r="K165" s="26" t="str">
        <f t="shared" ca="1" si="8"/>
        <v/>
      </c>
      <c r="L165" s="27" t="s">
        <v>1567</v>
      </c>
      <c r="M165" s="26" t="str">
        <f ca="1">IF(L165&lt;&gt;"","Entregado",IF(NOT(ISNUMBER(IF(Q165&lt;&gt;"",Q165,I165))),"REVISAR TE",IF(AND(ISNUMBER(Resumen!$B$3),IF(Q165&lt;&gt;"",Q165,I165)&lt;Resumen!$B$3),"REVISAR",IF(IF(Q165&lt;&gt;"",Q165,I165)&lt;TODAY(),"ATRASADO",IF(IF(Q165&lt;&gt;"",Q165,I165)-TODAY()&lt;=2,"POR VENCER","EN TIEMPO")))))</f>
        <v>Entregado</v>
      </c>
      <c r="N165" s="23" t="s">
        <v>84</v>
      </c>
      <c r="P165" s="23" t="s">
        <v>363</v>
      </c>
      <c r="Q165" s="28"/>
    </row>
    <row r="166" spans="1:17" ht="16.5" hidden="1" x14ac:dyDescent="0.3">
      <c r="A166" s="23" t="s">
        <v>360</v>
      </c>
      <c r="B166" s="23" t="s">
        <v>54</v>
      </c>
      <c r="C166" s="23" t="s">
        <v>367</v>
      </c>
      <c r="D166" s="24">
        <v>46084</v>
      </c>
      <c r="E166" s="25">
        <v>1</v>
      </c>
      <c r="F166" s="24">
        <v>46084</v>
      </c>
      <c r="G166" s="23" t="s">
        <v>361</v>
      </c>
      <c r="H166" s="26">
        <v>49</v>
      </c>
      <c r="I166" s="24">
        <f t="shared" si="6"/>
        <v>46133</v>
      </c>
      <c r="J166" s="26">
        <f t="shared" ca="1" si="7"/>
        <v>-171</v>
      </c>
      <c r="K166" s="26" t="str">
        <f t="shared" ca="1" si="8"/>
        <v/>
      </c>
      <c r="L166" s="27" t="s">
        <v>1567</v>
      </c>
      <c r="M166" s="26" t="str">
        <f ca="1">IF(L166&lt;&gt;"","Entregado",IF(NOT(ISNUMBER(IF(Q166&lt;&gt;"",Q166,I166))),"REVISAR TE",IF(AND(ISNUMBER(Resumen!$B$3),IF(Q166&lt;&gt;"",Q166,I166)&lt;Resumen!$B$3),"REVISAR",IF(IF(Q166&lt;&gt;"",Q166,I166)&lt;TODAY(),"ATRASADO",IF(IF(Q166&lt;&gt;"",Q166,I166)-TODAY()&lt;=2,"POR VENCER","EN TIEMPO")))))</f>
        <v>Entregado</v>
      </c>
      <c r="N166" s="23" t="s">
        <v>84</v>
      </c>
      <c r="P166" s="23" t="s">
        <v>363</v>
      </c>
      <c r="Q166" s="28"/>
    </row>
    <row r="167" spans="1:17" ht="16.5" hidden="1" x14ac:dyDescent="0.3">
      <c r="A167" s="23" t="s">
        <v>360</v>
      </c>
      <c r="B167" s="23" t="s">
        <v>54</v>
      </c>
      <c r="C167" s="23" t="s">
        <v>368</v>
      </c>
      <c r="D167" s="24">
        <v>46084</v>
      </c>
      <c r="E167" s="25">
        <v>1</v>
      </c>
      <c r="F167" s="24">
        <v>46084</v>
      </c>
      <c r="G167" s="23" t="s">
        <v>361</v>
      </c>
      <c r="H167" s="26">
        <v>49</v>
      </c>
      <c r="I167" s="24">
        <f t="shared" si="6"/>
        <v>46133</v>
      </c>
      <c r="J167" s="26">
        <f t="shared" ca="1" si="7"/>
        <v>-171</v>
      </c>
      <c r="K167" s="26" t="str">
        <f t="shared" ca="1" si="8"/>
        <v/>
      </c>
      <c r="L167" s="27" t="s">
        <v>1567</v>
      </c>
      <c r="M167" s="26" t="str">
        <f ca="1">IF(L167&lt;&gt;"","Entregado",IF(NOT(ISNUMBER(IF(Q167&lt;&gt;"",Q167,I167))),"REVISAR TE",IF(AND(ISNUMBER(Resumen!$B$3),IF(Q167&lt;&gt;"",Q167,I167)&lt;Resumen!$B$3),"REVISAR",IF(IF(Q167&lt;&gt;"",Q167,I167)&lt;TODAY(),"ATRASADO",IF(IF(Q167&lt;&gt;"",Q167,I167)-TODAY()&lt;=2,"POR VENCER","EN TIEMPO")))))</f>
        <v>Entregado</v>
      </c>
      <c r="N167" s="23" t="s">
        <v>84</v>
      </c>
      <c r="P167" s="23" t="s">
        <v>363</v>
      </c>
      <c r="Q167" s="28"/>
    </row>
    <row r="168" spans="1:17" ht="16.5" hidden="1" x14ac:dyDescent="0.3">
      <c r="A168" s="23" t="s">
        <v>360</v>
      </c>
      <c r="B168" s="23" t="s">
        <v>54</v>
      </c>
      <c r="C168" s="23" t="s">
        <v>369</v>
      </c>
      <c r="D168" s="24">
        <v>46084</v>
      </c>
      <c r="E168" s="25">
        <v>1</v>
      </c>
      <c r="F168" s="24">
        <v>46084</v>
      </c>
      <c r="G168" s="23" t="s">
        <v>361</v>
      </c>
      <c r="H168" s="26">
        <v>49</v>
      </c>
      <c r="I168" s="24">
        <f t="shared" si="6"/>
        <v>46133</v>
      </c>
      <c r="J168" s="26">
        <f t="shared" ca="1" si="7"/>
        <v>-171</v>
      </c>
      <c r="K168" s="26" t="str">
        <f t="shared" ca="1" si="8"/>
        <v/>
      </c>
      <c r="L168" s="27" t="s">
        <v>1567</v>
      </c>
      <c r="M168" s="26" t="str">
        <f ca="1">IF(L168&lt;&gt;"","Entregado",IF(NOT(ISNUMBER(IF(Q168&lt;&gt;"",Q168,I168))),"REVISAR TE",IF(AND(ISNUMBER(Resumen!$B$3),IF(Q168&lt;&gt;"",Q168,I168)&lt;Resumen!$B$3),"REVISAR",IF(IF(Q168&lt;&gt;"",Q168,I168)&lt;TODAY(),"ATRASADO",IF(IF(Q168&lt;&gt;"",Q168,I168)-TODAY()&lt;=2,"POR VENCER","EN TIEMPO")))))</f>
        <v>Entregado</v>
      </c>
      <c r="N168" s="23" t="s">
        <v>84</v>
      </c>
      <c r="P168" s="23" t="s">
        <v>363</v>
      </c>
      <c r="Q168" s="28"/>
    </row>
    <row r="169" spans="1:17" ht="16.5" hidden="1" x14ac:dyDescent="0.3">
      <c r="A169" s="23" t="s">
        <v>360</v>
      </c>
      <c r="B169" s="23" t="s">
        <v>54</v>
      </c>
      <c r="C169" s="23" t="s">
        <v>370</v>
      </c>
      <c r="D169" s="24">
        <v>46084</v>
      </c>
      <c r="E169" s="25">
        <v>1</v>
      </c>
      <c r="F169" s="24">
        <v>46084</v>
      </c>
      <c r="G169" s="23" t="s">
        <v>361</v>
      </c>
      <c r="H169" s="26">
        <v>49</v>
      </c>
      <c r="I169" s="24">
        <f t="shared" si="6"/>
        <v>46133</v>
      </c>
      <c r="J169" s="26">
        <f t="shared" ca="1" si="7"/>
        <v>-171</v>
      </c>
      <c r="K169" s="26" t="str">
        <f t="shared" ca="1" si="8"/>
        <v/>
      </c>
      <c r="L169" s="27" t="s">
        <v>1567</v>
      </c>
      <c r="M169" s="26" t="str">
        <f ca="1">IF(L169&lt;&gt;"","Entregado",IF(NOT(ISNUMBER(IF(Q169&lt;&gt;"",Q169,I169))),"REVISAR TE",IF(AND(ISNUMBER(Resumen!$B$3),IF(Q169&lt;&gt;"",Q169,I169)&lt;Resumen!$B$3),"REVISAR",IF(IF(Q169&lt;&gt;"",Q169,I169)&lt;TODAY(),"ATRASADO",IF(IF(Q169&lt;&gt;"",Q169,I169)-TODAY()&lt;=2,"POR VENCER","EN TIEMPO")))))</f>
        <v>Entregado</v>
      </c>
      <c r="N169" s="23" t="s">
        <v>84</v>
      </c>
      <c r="P169" s="23" t="s">
        <v>363</v>
      </c>
      <c r="Q169" s="28"/>
    </row>
    <row r="170" spans="1:17" ht="16.5" hidden="1" x14ac:dyDescent="0.3">
      <c r="A170" s="23" t="s">
        <v>360</v>
      </c>
      <c r="B170" s="23" t="s">
        <v>54</v>
      </c>
      <c r="C170" s="23" t="s">
        <v>371</v>
      </c>
      <c r="D170" s="24">
        <v>46084</v>
      </c>
      <c r="E170" s="25">
        <v>1</v>
      </c>
      <c r="F170" s="24">
        <v>46084</v>
      </c>
      <c r="G170" s="23" t="s">
        <v>361</v>
      </c>
      <c r="H170" s="26">
        <v>49</v>
      </c>
      <c r="I170" s="24">
        <f t="shared" si="6"/>
        <v>46133</v>
      </c>
      <c r="J170" s="26">
        <f t="shared" ca="1" si="7"/>
        <v>-171</v>
      </c>
      <c r="K170" s="26" t="str">
        <f t="shared" ca="1" si="8"/>
        <v/>
      </c>
      <c r="L170" s="27" t="s">
        <v>1567</v>
      </c>
      <c r="M170" s="26" t="str">
        <f ca="1">IF(L170&lt;&gt;"","Entregado",IF(NOT(ISNUMBER(IF(Q170&lt;&gt;"",Q170,I170))),"REVISAR TE",IF(AND(ISNUMBER(Resumen!$B$3),IF(Q170&lt;&gt;"",Q170,I170)&lt;Resumen!$B$3),"REVISAR",IF(IF(Q170&lt;&gt;"",Q170,I170)&lt;TODAY(),"ATRASADO",IF(IF(Q170&lt;&gt;"",Q170,I170)-TODAY()&lt;=2,"POR VENCER","EN TIEMPO")))))</f>
        <v>Entregado</v>
      </c>
      <c r="N170" s="23" t="s">
        <v>84</v>
      </c>
      <c r="P170" s="23" t="s">
        <v>363</v>
      </c>
      <c r="Q170" s="28"/>
    </row>
    <row r="171" spans="1:17" ht="16.5" hidden="1" x14ac:dyDescent="0.3">
      <c r="A171" s="23" t="s">
        <v>360</v>
      </c>
      <c r="B171" s="23" t="s">
        <v>54</v>
      </c>
      <c r="C171" s="23" t="s">
        <v>372</v>
      </c>
      <c r="D171" s="24">
        <v>46084</v>
      </c>
      <c r="E171" s="25">
        <v>1</v>
      </c>
      <c r="F171" s="24">
        <v>46084</v>
      </c>
      <c r="G171" s="23" t="s">
        <v>361</v>
      </c>
      <c r="H171" s="26">
        <v>49</v>
      </c>
      <c r="I171" s="24">
        <f t="shared" si="6"/>
        <v>46133</v>
      </c>
      <c r="J171" s="26">
        <f t="shared" ca="1" si="7"/>
        <v>-171</v>
      </c>
      <c r="K171" s="26" t="str">
        <f t="shared" ca="1" si="8"/>
        <v/>
      </c>
      <c r="L171" s="27" t="s">
        <v>1567</v>
      </c>
      <c r="M171" s="26" t="str">
        <f ca="1">IF(L171&lt;&gt;"","Entregado",IF(NOT(ISNUMBER(IF(Q171&lt;&gt;"",Q171,I171))),"REVISAR TE",IF(AND(ISNUMBER(Resumen!$B$3),IF(Q171&lt;&gt;"",Q171,I171)&lt;Resumen!$B$3),"REVISAR",IF(IF(Q171&lt;&gt;"",Q171,I171)&lt;TODAY(),"ATRASADO",IF(IF(Q171&lt;&gt;"",Q171,I171)-TODAY()&lt;=2,"POR VENCER","EN TIEMPO")))))</f>
        <v>Entregado</v>
      </c>
      <c r="N171" s="23" t="s">
        <v>84</v>
      </c>
      <c r="P171" s="23" t="s">
        <v>363</v>
      </c>
      <c r="Q171" s="28"/>
    </row>
    <row r="172" spans="1:17" ht="16.5" hidden="1" x14ac:dyDescent="0.3">
      <c r="A172" s="23" t="s">
        <v>373</v>
      </c>
      <c r="B172" s="23" t="s">
        <v>60</v>
      </c>
      <c r="C172" s="23" t="s">
        <v>374</v>
      </c>
      <c r="D172" s="24">
        <v>46084</v>
      </c>
      <c r="E172" s="25">
        <v>1</v>
      </c>
      <c r="F172" s="24">
        <v>46084</v>
      </c>
      <c r="G172" s="23" t="s">
        <v>88</v>
      </c>
      <c r="H172" s="26">
        <v>0</v>
      </c>
      <c r="I172" s="24">
        <f t="shared" si="6"/>
        <v>46084</v>
      </c>
      <c r="J172" s="26">
        <f t="shared" ca="1" si="7"/>
        <v>-220</v>
      </c>
      <c r="K172" s="26" t="str">
        <f t="shared" ca="1" si="8"/>
        <v/>
      </c>
      <c r="L172" s="27" t="s">
        <v>1567</v>
      </c>
      <c r="M172" s="26" t="str">
        <f ca="1">IF(L172&lt;&gt;"","Entregado",IF(NOT(ISNUMBER(IF(Q172&lt;&gt;"",Q172,I172))),"REVISAR TE",IF(AND(ISNUMBER(Resumen!$B$3),IF(Q172&lt;&gt;"",Q172,I172)&lt;Resumen!$B$3),"REVISAR",IF(IF(Q172&lt;&gt;"",Q172,I172)&lt;TODAY(),"ATRASADO",IF(IF(Q172&lt;&gt;"",Q172,I172)-TODAY()&lt;=2,"POR VENCER","EN TIEMPO")))))</f>
        <v>Entregado</v>
      </c>
      <c r="N172" s="23" t="s">
        <v>165</v>
      </c>
      <c r="P172" s="23" t="s">
        <v>375</v>
      </c>
      <c r="Q172" s="28"/>
    </row>
    <row r="173" spans="1:17" ht="16.5" hidden="1" x14ac:dyDescent="0.3">
      <c r="A173" s="23" t="s">
        <v>373</v>
      </c>
      <c r="B173" s="23" t="s">
        <v>60</v>
      </c>
      <c r="C173" s="23" t="s">
        <v>376</v>
      </c>
      <c r="D173" s="24">
        <v>46084</v>
      </c>
      <c r="E173" s="25">
        <v>1</v>
      </c>
      <c r="F173" s="24">
        <v>46084</v>
      </c>
      <c r="G173" s="23" t="s">
        <v>88</v>
      </c>
      <c r="H173" s="26">
        <v>0</v>
      </c>
      <c r="I173" s="24">
        <f t="shared" si="6"/>
        <v>46084</v>
      </c>
      <c r="J173" s="26">
        <f t="shared" ca="1" si="7"/>
        <v>-220</v>
      </c>
      <c r="K173" s="26" t="str">
        <f t="shared" ca="1" si="8"/>
        <v/>
      </c>
      <c r="L173" s="27" t="s">
        <v>1567</v>
      </c>
      <c r="M173" s="26" t="str">
        <f ca="1">IF(L173&lt;&gt;"","Entregado",IF(NOT(ISNUMBER(IF(Q173&lt;&gt;"",Q173,I173))),"REVISAR TE",IF(AND(ISNUMBER(Resumen!$B$3),IF(Q173&lt;&gt;"",Q173,I173)&lt;Resumen!$B$3),"REVISAR",IF(IF(Q173&lt;&gt;"",Q173,I173)&lt;TODAY(),"ATRASADO",IF(IF(Q173&lt;&gt;"",Q173,I173)-TODAY()&lt;=2,"POR VENCER","EN TIEMPO")))))</f>
        <v>Entregado</v>
      </c>
      <c r="N173" s="23" t="s">
        <v>165</v>
      </c>
      <c r="P173" s="23" t="s">
        <v>375</v>
      </c>
      <c r="Q173" s="28"/>
    </row>
    <row r="174" spans="1:17" ht="16.5" hidden="1" x14ac:dyDescent="0.3">
      <c r="A174" s="23" t="s">
        <v>377</v>
      </c>
      <c r="B174" s="23" t="s">
        <v>53</v>
      </c>
      <c r="C174" s="23" t="s">
        <v>378</v>
      </c>
      <c r="D174" s="24">
        <v>46084</v>
      </c>
      <c r="E174" s="25">
        <v>1</v>
      </c>
      <c r="F174" s="24">
        <v>46084</v>
      </c>
      <c r="G174" s="23" t="s">
        <v>88</v>
      </c>
      <c r="H174" s="26">
        <v>0</v>
      </c>
      <c r="I174" s="24">
        <f t="shared" si="6"/>
        <v>46084</v>
      </c>
      <c r="J174" s="26">
        <f t="shared" ca="1" si="7"/>
        <v>-220</v>
      </c>
      <c r="K174" s="26" t="str">
        <f t="shared" ca="1" si="8"/>
        <v/>
      </c>
      <c r="L174" s="27" t="s">
        <v>1567</v>
      </c>
      <c r="M174" s="26" t="str">
        <f ca="1">IF(L174&lt;&gt;"","Entregado",IF(NOT(ISNUMBER(IF(Q174&lt;&gt;"",Q174,I174))),"REVISAR TE",IF(AND(ISNUMBER(Resumen!$B$3),IF(Q174&lt;&gt;"",Q174,I174)&lt;Resumen!$B$3),"REVISAR",IF(IF(Q174&lt;&gt;"",Q174,I174)&lt;TODAY(),"ATRASADO",IF(IF(Q174&lt;&gt;"",Q174,I174)-TODAY()&lt;=2,"POR VENCER","EN TIEMPO")))))</f>
        <v>Entregado</v>
      </c>
      <c r="N174" s="23" t="s">
        <v>197</v>
      </c>
      <c r="P174" s="23" t="s">
        <v>379</v>
      </c>
      <c r="Q174" s="28"/>
    </row>
    <row r="175" spans="1:17" ht="16.5" hidden="1" x14ac:dyDescent="0.3">
      <c r="A175" s="23" t="s">
        <v>377</v>
      </c>
      <c r="B175" s="23" t="s">
        <v>53</v>
      </c>
      <c r="C175" s="23" t="s">
        <v>380</v>
      </c>
      <c r="D175" s="24">
        <v>46084</v>
      </c>
      <c r="E175" s="25">
        <v>2</v>
      </c>
      <c r="F175" s="24">
        <v>46084</v>
      </c>
      <c r="G175" s="23" t="s">
        <v>88</v>
      </c>
      <c r="H175" s="26">
        <v>0</v>
      </c>
      <c r="I175" s="24">
        <f t="shared" si="6"/>
        <v>46084</v>
      </c>
      <c r="J175" s="26">
        <f t="shared" ca="1" si="7"/>
        <v>-220</v>
      </c>
      <c r="K175" s="26" t="str">
        <f t="shared" ca="1" si="8"/>
        <v/>
      </c>
      <c r="L175" s="27" t="s">
        <v>1567</v>
      </c>
      <c r="M175" s="26" t="str">
        <f ca="1">IF(L175&lt;&gt;"","Entregado",IF(NOT(ISNUMBER(IF(Q175&lt;&gt;"",Q175,I175))),"REVISAR TE",IF(AND(ISNUMBER(Resumen!$B$3),IF(Q175&lt;&gt;"",Q175,I175)&lt;Resumen!$B$3),"REVISAR",IF(IF(Q175&lt;&gt;"",Q175,I175)&lt;TODAY(),"ATRASADO",IF(IF(Q175&lt;&gt;"",Q175,I175)-TODAY()&lt;=2,"POR VENCER","EN TIEMPO")))))</f>
        <v>Entregado</v>
      </c>
      <c r="N175" s="23" t="s">
        <v>197</v>
      </c>
      <c r="P175" s="23" t="s">
        <v>379</v>
      </c>
      <c r="Q175" s="28"/>
    </row>
    <row r="176" spans="1:17" ht="16.5" hidden="1" x14ac:dyDescent="0.3">
      <c r="A176" s="23" t="s">
        <v>377</v>
      </c>
      <c r="B176" s="23" t="s">
        <v>53</v>
      </c>
      <c r="C176" s="23" t="s">
        <v>381</v>
      </c>
      <c r="D176" s="24">
        <v>46084</v>
      </c>
      <c r="E176" s="25">
        <v>4</v>
      </c>
      <c r="F176" s="24">
        <v>46084</v>
      </c>
      <c r="G176" s="23" t="s">
        <v>88</v>
      </c>
      <c r="H176" s="26">
        <v>0</v>
      </c>
      <c r="I176" s="24">
        <f t="shared" si="6"/>
        <v>46084</v>
      </c>
      <c r="J176" s="26">
        <f t="shared" ca="1" si="7"/>
        <v>-220</v>
      </c>
      <c r="K176" s="26" t="str">
        <f t="shared" ca="1" si="8"/>
        <v/>
      </c>
      <c r="L176" s="27" t="s">
        <v>1567</v>
      </c>
      <c r="M176" s="26" t="str">
        <f ca="1">IF(L176&lt;&gt;"","Entregado",IF(NOT(ISNUMBER(IF(Q176&lt;&gt;"",Q176,I176))),"REVISAR TE",IF(AND(ISNUMBER(Resumen!$B$3),IF(Q176&lt;&gt;"",Q176,I176)&lt;Resumen!$B$3),"REVISAR",IF(IF(Q176&lt;&gt;"",Q176,I176)&lt;TODAY(),"ATRASADO",IF(IF(Q176&lt;&gt;"",Q176,I176)-TODAY()&lt;=2,"POR VENCER","EN TIEMPO")))))</f>
        <v>Entregado</v>
      </c>
      <c r="N176" s="23" t="s">
        <v>197</v>
      </c>
      <c r="P176" s="23" t="s">
        <v>379</v>
      </c>
      <c r="Q176" s="28"/>
    </row>
    <row r="177" spans="1:17" ht="16.5" hidden="1" x14ac:dyDescent="0.3">
      <c r="A177" s="23" t="s">
        <v>377</v>
      </c>
      <c r="B177" s="23" t="s">
        <v>53</v>
      </c>
      <c r="C177" s="23" t="s">
        <v>382</v>
      </c>
      <c r="D177" s="24">
        <v>46084</v>
      </c>
      <c r="E177" s="25">
        <v>4</v>
      </c>
      <c r="F177" s="24">
        <v>46084</v>
      </c>
      <c r="G177" s="23" t="s">
        <v>88</v>
      </c>
      <c r="H177" s="26">
        <v>0</v>
      </c>
      <c r="I177" s="24">
        <f t="shared" si="6"/>
        <v>46084</v>
      </c>
      <c r="J177" s="26">
        <f t="shared" ca="1" si="7"/>
        <v>-220</v>
      </c>
      <c r="K177" s="26" t="str">
        <f t="shared" ca="1" si="8"/>
        <v/>
      </c>
      <c r="L177" s="27" t="s">
        <v>1567</v>
      </c>
      <c r="M177" s="26" t="str">
        <f ca="1">IF(L177&lt;&gt;"","Entregado",IF(NOT(ISNUMBER(IF(Q177&lt;&gt;"",Q177,I177))),"REVISAR TE",IF(AND(ISNUMBER(Resumen!$B$3),IF(Q177&lt;&gt;"",Q177,I177)&lt;Resumen!$B$3),"REVISAR",IF(IF(Q177&lt;&gt;"",Q177,I177)&lt;TODAY(),"ATRASADO",IF(IF(Q177&lt;&gt;"",Q177,I177)-TODAY()&lt;=2,"POR VENCER","EN TIEMPO")))))</f>
        <v>Entregado</v>
      </c>
      <c r="N177" s="23" t="s">
        <v>197</v>
      </c>
      <c r="P177" s="23" t="s">
        <v>379</v>
      </c>
      <c r="Q177" s="28"/>
    </row>
    <row r="178" spans="1:17" ht="16.5" hidden="1" x14ac:dyDescent="0.3">
      <c r="A178" s="23" t="s">
        <v>377</v>
      </c>
      <c r="B178" s="23" t="s">
        <v>53</v>
      </c>
      <c r="C178" s="23" t="s">
        <v>383</v>
      </c>
      <c r="D178" s="24">
        <v>46084</v>
      </c>
      <c r="E178" s="25">
        <v>2</v>
      </c>
      <c r="F178" s="24">
        <v>46084</v>
      </c>
      <c r="G178" s="23" t="s">
        <v>88</v>
      </c>
      <c r="H178" s="26">
        <v>0</v>
      </c>
      <c r="I178" s="24">
        <f t="shared" si="6"/>
        <v>46084</v>
      </c>
      <c r="J178" s="26">
        <f t="shared" ca="1" si="7"/>
        <v>-220</v>
      </c>
      <c r="K178" s="26" t="str">
        <f t="shared" ca="1" si="8"/>
        <v/>
      </c>
      <c r="L178" s="27" t="s">
        <v>1567</v>
      </c>
      <c r="M178" s="26" t="str">
        <f ca="1">IF(L178&lt;&gt;"","Entregado",IF(NOT(ISNUMBER(IF(Q178&lt;&gt;"",Q178,I178))),"REVISAR TE",IF(AND(ISNUMBER(Resumen!$B$3),IF(Q178&lt;&gt;"",Q178,I178)&lt;Resumen!$B$3),"REVISAR",IF(IF(Q178&lt;&gt;"",Q178,I178)&lt;TODAY(),"ATRASADO",IF(IF(Q178&lt;&gt;"",Q178,I178)-TODAY()&lt;=2,"POR VENCER","EN TIEMPO")))))</f>
        <v>Entregado</v>
      </c>
      <c r="N178" s="23" t="s">
        <v>197</v>
      </c>
      <c r="P178" s="23" t="s">
        <v>379</v>
      </c>
      <c r="Q178" s="28"/>
    </row>
    <row r="179" spans="1:17" ht="16.5" hidden="1" x14ac:dyDescent="0.3">
      <c r="A179" s="23" t="s">
        <v>384</v>
      </c>
      <c r="B179" s="23" t="s">
        <v>54</v>
      </c>
      <c r="C179" s="23" t="s">
        <v>385</v>
      </c>
      <c r="D179" s="24">
        <v>46085</v>
      </c>
      <c r="E179" s="25">
        <v>2</v>
      </c>
      <c r="F179" s="24">
        <v>46085</v>
      </c>
      <c r="G179" s="23" t="s">
        <v>83</v>
      </c>
      <c r="H179" s="26">
        <v>21</v>
      </c>
      <c r="I179" s="24">
        <f t="shared" si="6"/>
        <v>46106</v>
      </c>
      <c r="J179" s="26">
        <f t="shared" ca="1" si="7"/>
        <v>-198</v>
      </c>
      <c r="K179" s="26" t="str">
        <f t="shared" ca="1" si="8"/>
        <v/>
      </c>
      <c r="L179" s="27" t="s">
        <v>1567</v>
      </c>
      <c r="M179" s="26" t="str">
        <f ca="1">IF(L179&lt;&gt;"","Entregado",IF(NOT(ISNUMBER(IF(Q179&lt;&gt;"",Q179,I179))),"REVISAR TE",IF(AND(ISNUMBER(Resumen!$B$3),IF(Q179&lt;&gt;"",Q179,I179)&lt;Resumen!$B$3),"REVISAR",IF(IF(Q179&lt;&gt;"",Q179,I179)&lt;TODAY(),"ATRASADO",IF(IF(Q179&lt;&gt;"",Q179,I179)-TODAY()&lt;=2,"POR VENCER","EN TIEMPO")))))</f>
        <v>Entregado</v>
      </c>
      <c r="N179" s="23" t="s">
        <v>98</v>
      </c>
      <c r="P179" s="23" t="s">
        <v>386</v>
      </c>
      <c r="Q179" s="28"/>
    </row>
    <row r="180" spans="1:17" ht="16.5" hidden="1" x14ac:dyDescent="0.3">
      <c r="A180" s="23" t="s">
        <v>387</v>
      </c>
      <c r="B180" s="23" t="s">
        <v>52</v>
      </c>
      <c r="C180" s="23" t="s">
        <v>389</v>
      </c>
      <c r="D180" s="24">
        <v>46087</v>
      </c>
      <c r="E180" s="25">
        <v>25</v>
      </c>
      <c r="F180" s="24">
        <v>46087</v>
      </c>
      <c r="G180" s="23" t="s">
        <v>137</v>
      </c>
      <c r="H180" s="26">
        <v>28</v>
      </c>
      <c r="I180" s="24">
        <f t="shared" si="6"/>
        <v>46115</v>
      </c>
      <c r="J180" s="26">
        <f t="shared" ca="1" si="7"/>
        <v>-189</v>
      </c>
      <c r="K180" s="26" t="str">
        <f t="shared" ca="1" si="8"/>
        <v/>
      </c>
      <c r="L180" s="27" t="s">
        <v>1567</v>
      </c>
      <c r="M180" s="26" t="str">
        <f ca="1">IF(L180&lt;&gt;"","Entregado",IF(NOT(ISNUMBER(IF(Q180&lt;&gt;"",Q180,I180))),"REVISAR TE",IF(AND(ISNUMBER(Resumen!$B$3),IF(Q180&lt;&gt;"",Q180,I180)&lt;Resumen!$B$3),"REVISAR",IF(IF(Q180&lt;&gt;"",Q180,I180)&lt;TODAY(),"ATRASADO",IF(IF(Q180&lt;&gt;"",Q180,I180)-TODAY()&lt;=2,"POR VENCER","EN TIEMPO")))))</f>
        <v>Entregado</v>
      </c>
      <c r="N180" s="23" t="s">
        <v>388</v>
      </c>
      <c r="P180" s="23" t="s">
        <v>390</v>
      </c>
      <c r="Q180" s="28"/>
    </row>
    <row r="181" spans="1:17" ht="16.5" hidden="1" x14ac:dyDescent="0.3">
      <c r="A181" s="23" t="s">
        <v>387</v>
      </c>
      <c r="B181" s="23" t="s">
        <v>52</v>
      </c>
      <c r="C181" s="23" t="s">
        <v>391</v>
      </c>
      <c r="D181" s="24">
        <v>46087</v>
      </c>
      <c r="E181" s="25">
        <v>25</v>
      </c>
      <c r="F181" s="24">
        <v>46087</v>
      </c>
      <c r="G181" s="23" t="s">
        <v>137</v>
      </c>
      <c r="H181" s="26">
        <v>28</v>
      </c>
      <c r="I181" s="24">
        <f t="shared" si="6"/>
        <v>46115</v>
      </c>
      <c r="J181" s="26">
        <f t="shared" ca="1" si="7"/>
        <v>-189</v>
      </c>
      <c r="K181" s="26" t="str">
        <f t="shared" ca="1" si="8"/>
        <v/>
      </c>
      <c r="L181" s="27" t="s">
        <v>1567</v>
      </c>
      <c r="M181" s="26" t="str">
        <f ca="1">IF(L181&lt;&gt;"","Entregado",IF(NOT(ISNUMBER(IF(Q181&lt;&gt;"",Q181,I181))),"REVISAR TE",IF(AND(ISNUMBER(Resumen!$B$3),IF(Q181&lt;&gt;"",Q181,I181)&lt;Resumen!$B$3),"REVISAR",IF(IF(Q181&lt;&gt;"",Q181,I181)&lt;TODAY(),"ATRASADO",IF(IF(Q181&lt;&gt;"",Q181,I181)-TODAY()&lt;=2,"POR VENCER","EN TIEMPO")))))</f>
        <v>Entregado</v>
      </c>
      <c r="N181" s="23" t="s">
        <v>388</v>
      </c>
      <c r="P181" s="23" t="s">
        <v>390</v>
      </c>
      <c r="Q181" s="28"/>
    </row>
    <row r="182" spans="1:17" ht="16.5" hidden="1" x14ac:dyDescent="0.3">
      <c r="A182" s="23" t="s">
        <v>387</v>
      </c>
      <c r="B182" s="23" t="s">
        <v>52</v>
      </c>
      <c r="C182" s="23" t="s">
        <v>392</v>
      </c>
      <c r="D182" s="24">
        <v>46087</v>
      </c>
      <c r="E182" s="25">
        <v>25</v>
      </c>
      <c r="F182" s="24">
        <v>46087</v>
      </c>
      <c r="G182" s="23" t="s">
        <v>137</v>
      </c>
      <c r="H182" s="26">
        <v>28</v>
      </c>
      <c r="I182" s="24">
        <f t="shared" si="6"/>
        <v>46115</v>
      </c>
      <c r="J182" s="26">
        <f t="shared" ca="1" si="7"/>
        <v>-189</v>
      </c>
      <c r="K182" s="26" t="str">
        <f t="shared" ca="1" si="8"/>
        <v/>
      </c>
      <c r="L182" s="27" t="s">
        <v>1567</v>
      </c>
      <c r="M182" s="26" t="str">
        <f ca="1">IF(L182&lt;&gt;"","Entregado",IF(NOT(ISNUMBER(IF(Q182&lt;&gt;"",Q182,I182))),"REVISAR TE",IF(AND(ISNUMBER(Resumen!$B$3),IF(Q182&lt;&gt;"",Q182,I182)&lt;Resumen!$B$3),"REVISAR",IF(IF(Q182&lt;&gt;"",Q182,I182)&lt;TODAY(),"ATRASADO",IF(IF(Q182&lt;&gt;"",Q182,I182)-TODAY()&lt;=2,"POR VENCER","EN TIEMPO")))))</f>
        <v>Entregado</v>
      </c>
      <c r="N182" s="23" t="s">
        <v>388</v>
      </c>
      <c r="P182" s="23" t="s">
        <v>390</v>
      </c>
      <c r="Q182" s="28"/>
    </row>
    <row r="183" spans="1:17" ht="16.5" hidden="1" x14ac:dyDescent="0.3">
      <c r="A183" s="23" t="s">
        <v>393</v>
      </c>
      <c r="B183" s="23" t="s">
        <v>52</v>
      </c>
      <c r="C183" s="23" t="s">
        <v>394</v>
      </c>
      <c r="D183" s="24">
        <v>46087</v>
      </c>
      <c r="E183" s="25">
        <v>13</v>
      </c>
      <c r="F183" s="24">
        <v>46078</v>
      </c>
      <c r="G183" s="23" t="s">
        <v>93</v>
      </c>
      <c r="H183" s="26">
        <v>28</v>
      </c>
      <c r="I183" s="24">
        <f t="shared" si="6"/>
        <v>46115</v>
      </c>
      <c r="J183" s="26">
        <f t="shared" ca="1" si="7"/>
        <v>-189</v>
      </c>
      <c r="K183" s="26" t="str">
        <f t="shared" ca="1" si="8"/>
        <v/>
      </c>
      <c r="L183" s="27" t="s">
        <v>1567</v>
      </c>
      <c r="M183" s="26" t="str">
        <f ca="1">IF(L183&lt;&gt;"","Entregado",IF(NOT(ISNUMBER(IF(Q183&lt;&gt;"",Q183,I183))),"REVISAR TE",IF(AND(ISNUMBER(Resumen!$B$3),IF(Q183&lt;&gt;"",Q183,I183)&lt;Resumen!$B$3),"REVISAR",IF(IF(Q183&lt;&gt;"",Q183,I183)&lt;TODAY(),"ATRASADO",IF(IF(Q183&lt;&gt;"",Q183,I183)-TODAY()&lt;=2,"POR VENCER","EN TIEMPO")))))</f>
        <v>Entregado</v>
      </c>
      <c r="N183" s="23" t="s">
        <v>94</v>
      </c>
      <c r="P183" s="23" t="s">
        <v>395</v>
      </c>
      <c r="Q183" s="28"/>
    </row>
    <row r="184" spans="1:17" ht="16.5" hidden="1" x14ac:dyDescent="0.3">
      <c r="A184" s="23" t="s">
        <v>393</v>
      </c>
      <c r="B184" s="23" t="s">
        <v>52</v>
      </c>
      <c r="C184" s="23" t="s">
        <v>396</v>
      </c>
      <c r="D184" s="24">
        <v>46087</v>
      </c>
      <c r="E184" s="25">
        <v>13</v>
      </c>
      <c r="F184" s="24">
        <v>46078</v>
      </c>
      <c r="G184" s="23" t="s">
        <v>93</v>
      </c>
      <c r="H184" s="26">
        <v>28</v>
      </c>
      <c r="I184" s="24">
        <f t="shared" si="6"/>
        <v>46115</v>
      </c>
      <c r="J184" s="26">
        <f t="shared" ca="1" si="7"/>
        <v>-189</v>
      </c>
      <c r="K184" s="26" t="str">
        <f t="shared" ca="1" si="8"/>
        <v/>
      </c>
      <c r="L184" s="27" t="s">
        <v>1567</v>
      </c>
      <c r="M184" s="26" t="str">
        <f ca="1">IF(L184&lt;&gt;"","Entregado",IF(NOT(ISNUMBER(IF(Q184&lt;&gt;"",Q184,I184))),"REVISAR TE",IF(AND(ISNUMBER(Resumen!$B$3),IF(Q184&lt;&gt;"",Q184,I184)&lt;Resumen!$B$3),"REVISAR",IF(IF(Q184&lt;&gt;"",Q184,I184)&lt;TODAY(),"ATRASADO",IF(IF(Q184&lt;&gt;"",Q184,I184)-TODAY()&lt;=2,"POR VENCER","EN TIEMPO")))))</f>
        <v>Entregado</v>
      </c>
      <c r="N184" s="23" t="s">
        <v>94</v>
      </c>
      <c r="P184" s="23" t="s">
        <v>395</v>
      </c>
      <c r="Q184" s="28"/>
    </row>
    <row r="185" spans="1:17" ht="16.5" hidden="1" x14ac:dyDescent="0.3">
      <c r="A185" s="23" t="s">
        <v>393</v>
      </c>
      <c r="B185" s="23" t="s">
        <v>52</v>
      </c>
      <c r="C185" s="23" t="s">
        <v>175</v>
      </c>
      <c r="D185" s="24">
        <v>46087</v>
      </c>
      <c r="E185" s="25">
        <v>2</v>
      </c>
      <c r="F185" s="24">
        <v>46078</v>
      </c>
      <c r="G185" s="23" t="s">
        <v>93</v>
      </c>
      <c r="H185" s="26">
        <v>28</v>
      </c>
      <c r="I185" s="24">
        <f t="shared" si="6"/>
        <v>46115</v>
      </c>
      <c r="J185" s="26">
        <f t="shared" ca="1" si="7"/>
        <v>-189</v>
      </c>
      <c r="K185" s="26" t="str">
        <f t="shared" ca="1" si="8"/>
        <v/>
      </c>
      <c r="L185" s="27" t="s">
        <v>1567</v>
      </c>
      <c r="M185" s="26" t="str">
        <f ca="1">IF(L185&lt;&gt;"","Entregado",IF(NOT(ISNUMBER(IF(Q185&lt;&gt;"",Q185,I185))),"REVISAR TE",IF(AND(ISNUMBER(Resumen!$B$3),IF(Q185&lt;&gt;"",Q185,I185)&lt;Resumen!$B$3),"REVISAR",IF(IF(Q185&lt;&gt;"",Q185,I185)&lt;TODAY(),"ATRASADO",IF(IF(Q185&lt;&gt;"",Q185,I185)-TODAY()&lt;=2,"POR VENCER","EN TIEMPO")))))</f>
        <v>Entregado</v>
      </c>
      <c r="N185" s="23" t="s">
        <v>174</v>
      </c>
      <c r="P185" s="23" t="s">
        <v>395</v>
      </c>
      <c r="Q185" s="28"/>
    </row>
    <row r="186" spans="1:17" ht="16.5" hidden="1" x14ac:dyDescent="0.3">
      <c r="A186" s="23" t="s">
        <v>397</v>
      </c>
      <c r="B186" s="23" t="s">
        <v>52</v>
      </c>
      <c r="C186" s="23" t="s">
        <v>399</v>
      </c>
      <c r="D186" s="24">
        <v>46087</v>
      </c>
      <c r="E186" s="25">
        <v>5</v>
      </c>
      <c r="F186" s="24">
        <v>46087</v>
      </c>
      <c r="G186" s="23" t="s">
        <v>398</v>
      </c>
      <c r="H186" s="26">
        <v>56</v>
      </c>
      <c r="I186" s="24">
        <f t="shared" si="6"/>
        <v>46143</v>
      </c>
      <c r="J186" s="26">
        <f t="shared" ca="1" si="7"/>
        <v>-161</v>
      </c>
      <c r="K186" s="26" t="str">
        <f t="shared" ca="1" si="8"/>
        <v/>
      </c>
      <c r="L186" s="27" t="s">
        <v>1567</v>
      </c>
      <c r="M186" s="26" t="str">
        <f ca="1">IF(L186&lt;&gt;"","Entregado",IF(NOT(ISNUMBER(IF(Q186&lt;&gt;"",Q186,I186))),"REVISAR TE",IF(AND(ISNUMBER(Resumen!$B$3),IF(Q186&lt;&gt;"",Q186,I186)&lt;Resumen!$B$3),"REVISAR",IF(IF(Q186&lt;&gt;"",Q186,I186)&lt;TODAY(),"ATRASADO",IF(IF(Q186&lt;&gt;"",Q186,I186)-TODAY()&lt;=2,"POR VENCER","EN TIEMPO")))))</f>
        <v>Entregado</v>
      </c>
      <c r="N186" s="23" t="s">
        <v>94</v>
      </c>
      <c r="P186" s="23" t="s">
        <v>400</v>
      </c>
      <c r="Q186" s="28"/>
    </row>
    <row r="187" spans="1:17" ht="16.5" hidden="1" x14ac:dyDescent="0.3">
      <c r="A187" s="23" t="s">
        <v>397</v>
      </c>
      <c r="B187" s="23" t="s">
        <v>52</v>
      </c>
      <c r="C187" s="23" t="s">
        <v>401</v>
      </c>
      <c r="D187" s="24">
        <v>46087</v>
      </c>
      <c r="E187" s="25">
        <v>13</v>
      </c>
      <c r="F187" s="24">
        <v>46087</v>
      </c>
      <c r="G187" s="23" t="s">
        <v>398</v>
      </c>
      <c r="H187" s="26">
        <v>56</v>
      </c>
      <c r="I187" s="24">
        <f t="shared" si="6"/>
        <v>46143</v>
      </c>
      <c r="J187" s="26">
        <f t="shared" ca="1" si="7"/>
        <v>-161</v>
      </c>
      <c r="K187" s="26" t="str">
        <f t="shared" ca="1" si="8"/>
        <v/>
      </c>
      <c r="L187" s="27" t="s">
        <v>1567</v>
      </c>
      <c r="M187" s="26" t="str">
        <f ca="1">IF(L187&lt;&gt;"","Entregado",IF(NOT(ISNUMBER(IF(Q187&lt;&gt;"",Q187,I187))),"REVISAR TE",IF(AND(ISNUMBER(Resumen!$B$3),IF(Q187&lt;&gt;"",Q187,I187)&lt;Resumen!$B$3),"REVISAR",IF(IF(Q187&lt;&gt;"",Q187,I187)&lt;TODAY(),"ATRASADO",IF(IF(Q187&lt;&gt;"",Q187,I187)-TODAY()&lt;=2,"POR VENCER","EN TIEMPO")))))</f>
        <v>Entregado</v>
      </c>
      <c r="N187" s="23" t="s">
        <v>94</v>
      </c>
      <c r="P187" s="23" t="s">
        <v>400</v>
      </c>
      <c r="Q187" s="28"/>
    </row>
    <row r="188" spans="1:17" ht="16.5" hidden="1" x14ac:dyDescent="0.3">
      <c r="A188" s="23" t="s">
        <v>397</v>
      </c>
      <c r="B188" s="23" t="s">
        <v>52</v>
      </c>
      <c r="C188" s="23" t="s">
        <v>402</v>
      </c>
      <c r="D188" s="24">
        <v>46087</v>
      </c>
      <c r="E188" s="25">
        <v>13</v>
      </c>
      <c r="F188" s="24">
        <v>46087</v>
      </c>
      <c r="G188" s="23" t="s">
        <v>398</v>
      </c>
      <c r="H188" s="26">
        <v>56</v>
      </c>
      <c r="I188" s="24">
        <f t="shared" si="6"/>
        <v>46143</v>
      </c>
      <c r="J188" s="26">
        <f t="shared" ca="1" si="7"/>
        <v>-161</v>
      </c>
      <c r="K188" s="26" t="str">
        <f t="shared" ca="1" si="8"/>
        <v/>
      </c>
      <c r="L188" s="27" t="s">
        <v>1567</v>
      </c>
      <c r="M188" s="26" t="str">
        <f ca="1">IF(L188&lt;&gt;"","Entregado",IF(NOT(ISNUMBER(IF(Q188&lt;&gt;"",Q188,I188))),"REVISAR TE",IF(AND(ISNUMBER(Resumen!$B$3),IF(Q188&lt;&gt;"",Q188,I188)&lt;Resumen!$B$3),"REVISAR",IF(IF(Q188&lt;&gt;"",Q188,I188)&lt;TODAY(),"ATRASADO",IF(IF(Q188&lt;&gt;"",Q188,I188)-TODAY()&lt;=2,"POR VENCER","EN TIEMPO")))))</f>
        <v>Entregado</v>
      </c>
      <c r="N188" s="23" t="s">
        <v>94</v>
      </c>
      <c r="P188" s="23" t="s">
        <v>400</v>
      </c>
      <c r="Q188" s="28"/>
    </row>
    <row r="189" spans="1:17" ht="16.5" hidden="1" x14ac:dyDescent="0.3">
      <c r="A189" s="23" t="s">
        <v>397</v>
      </c>
      <c r="B189" s="23" t="s">
        <v>52</v>
      </c>
      <c r="C189" s="23" t="s">
        <v>403</v>
      </c>
      <c r="D189" s="24">
        <v>46087</v>
      </c>
      <c r="E189" s="25">
        <v>13</v>
      </c>
      <c r="F189" s="24">
        <v>46087</v>
      </c>
      <c r="G189" s="23" t="s">
        <v>398</v>
      </c>
      <c r="H189" s="26">
        <v>56</v>
      </c>
      <c r="I189" s="24">
        <f t="shared" si="6"/>
        <v>46143</v>
      </c>
      <c r="J189" s="26">
        <f t="shared" ca="1" si="7"/>
        <v>-161</v>
      </c>
      <c r="K189" s="26" t="str">
        <f t="shared" ca="1" si="8"/>
        <v/>
      </c>
      <c r="L189" s="27" t="s">
        <v>1567</v>
      </c>
      <c r="M189" s="26" t="str">
        <f ca="1">IF(L189&lt;&gt;"","Entregado",IF(NOT(ISNUMBER(IF(Q189&lt;&gt;"",Q189,I189))),"REVISAR TE",IF(AND(ISNUMBER(Resumen!$B$3),IF(Q189&lt;&gt;"",Q189,I189)&lt;Resumen!$B$3),"REVISAR",IF(IF(Q189&lt;&gt;"",Q189,I189)&lt;TODAY(),"ATRASADO",IF(IF(Q189&lt;&gt;"",Q189,I189)-TODAY()&lt;=2,"POR VENCER","EN TIEMPO")))))</f>
        <v>Entregado</v>
      </c>
      <c r="N189" s="23" t="s">
        <v>94</v>
      </c>
      <c r="P189" s="23" t="s">
        <v>400</v>
      </c>
      <c r="Q189" s="28"/>
    </row>
    <row r="190" spans="1:17" ht="16.5" hidden="1" x14ac:dyDescent="0.3">
      <c r="A190" s="23" t="s">
        <v>397</v>
      </c>
      <c r="B190" s="23" t="s">
        <v>52</v>
      </c>
      <c r="C190" s="23" t="s">
        <v>404</v>
      </c>
      <c r="D190" s="24">
        <v>46087</v>
      </c>
      <c r="E190" s="25">
        <v>13</v>
      </c>
      <c r="F190" s="24">
        <v>46087</v>
      </c>
      <c r="G190" s="23" t="s">
        <v>398</v>
      </c>
      <c r="H190" s="26">
        <v>56</v>
      </c>
      <c r="I190" s="24">
        <f t="shared" si="6"/>
        <v>46143</v>
      </c>
      <c r="J190" s="26">
        <f t="shared" ca="1" si="7"/>
        <v>-161</v>
      </c>
      <c r="K190" s="26" t="str">
        <f t="shared" ca="1" si="8"/>
        <v/>
      </c>
      <c r="L190" s="27" t="s">
        <v>1567</v>
      </c>
      <c r="M190" s="26" t="str">
        <f ca="1">IF(L190&lt;&gt;"","Entregado",IF(NOT(ISNUMBER(IF(Q190&lt;&gt;"",Q190,I190))),"REVISAR TE",IF(AND(ISNUMBER(Resumen!$B$3),IF(Q190&lt;&gt;"",Q190,I190)&lt;Resumen!$B$3),"REVISAR",IF(IF(Q190&lt;&gt;"",Q190,I190)&lt;TODAY(),"ATRASADO",IF(IF(Q190&lt;&gt;"",Q190,I190)-TODAY()&lt;=2,"POR VENCER","EN TIEMPO")))))</f>
        <v>Entregado</v>
      </c>
      <c r="N190" s="23" t="s">
        <v>94</v>
      </c>
      <c r="P190" s="23" t="s">
        <v>400</v>
      </c>
      <c r="Q190" s="28"/>
    </row>
    <row r="191" spans="1:17" ht="16.5" hidden="1" x14ac:dyDescent="0.3">
      <c r="A191" s="23" t="s">
        <v>397</v>
      </c>
      <c r="B191" s="23" t="s">
        <v>52</v>
      </c>
      <c r="C191" s="23" t="s">
        <v>405</v>
      </c>
      <c r="D191" s="24">
        <v>46087</v>
      </c>
      <c r="E191" s="25">
        <v>13</v>
      </c>
      <c r="F191" s="24">
        <v>46087</v>
      </c>
      <c r="G191" s="23" t="s">
        <v>398</v>
      </c>
      <c r="H191" s="26">
        <v>56</v>
      </c>
      <c r="I191" s="24">
        <f t="shared" si="6"/>
        <v>46143</v>
      </c>
      <c r="J191" s="26">
        <f t="shared" ca="1" si="7"/>
        <v>-161</v>
      </c>
      <c r="K191" s="26" t="str">
        <f t="shared" ca="1" si="8"/>
        <v/>
      </c>
      <c r="L191" s="27" t="s">
        <v>1567</v>
      </c>
      <c r="M191" s="26" t="str">
        <f ca="1">IF(L191&lt;&gt;"","Entregado",IF(NOT(ISNUMBER(IF(Q191&lt;&gt;"",Q191,I191))),"REVISAR TE",IF(AND(ISNUMBER(Resumen!$B$3),IF(Q191&lt;&gt;"",Q191,I191)&lt;Resumen!$B$3),"REVISAR",IF(IF(Q191&lt;&gt;"",Q191,I191)&lt;TODAY(),"ATRASADO",IF(IF(Q191&lt;&gt;"",Q191,I191)-TODAY()&lt;=2,"POR VENCER","EN TIEMPO")))))</f>
        <v>Entregado</v>
      </c>
      <c r="N191" s="23" t="s">
        <v>94</v>
      </c>
      <c r="P191" s="23" t="s">
        <v>400</v>
      </c>
      <c r="Q191" s="28"/>
    </row>
    <row r="192" spans="1:17" ht="16.5" hidden="1" x14ac:dyDescent="0.3">
      <c r="A192" s="23" t="s">
        <v>397</v>
      </c>
      <c r="B192" s="23" t="s">
        <v>52</v>
      </c>
      <c r="C192" s="23" t="s">
        <v>406</v>
      </c>
      <c r="D192" s="24">
        <v>46087</v>
      </c>
      <c r="E192" s="25">
        <v>10</v>
      </c>
      <c r="F192" s="24">
        <v>46087</v>
      </c>
      <c r="G192" s="23" t="s">
        <v>398</v>
      </c>
      <c r="H192" s="26">
        <v>56</v>
      </c>
      <c r="I192" s="24">
        <f t="shared" si="6"/>
        <v>46143</v>
      </c>
      <c r="J192" s="26">
        <f t="shared" ca="1" si="7"/>
        <v>-161</v>
      </c>
      <c r="K192" s="26" t="str">
        <f t="shared" ca="1" si="8"/>
        <v/>
      </c>
      <c r="L192" s="27" t="s">
        <v>1567</v>
      </c>
      <c r="M192" s="26" t="str">
        <f ca="1">IF(L192&lt;&gt;"","Entregado",IF(NOT(ISNUMBER(IF(Q192&lt;&gt;"",Q192,I192))),"REVISAR TE",IF(AND(ISNUMBER(Resumen!$B$3),IF(Q192&lt;&gt;"",Q192,I192)&lt;Resumen!$B$3),"REVISAR",IF(IF(Q192&lt;&gt;"",Q192,I192)&lt;TODAY(),"ATRASADO",IF(IF(Q192&lt;&gt;"",Q192,I192)-TODAY()&lt;=2,"POR VENCER","EN TIEMPO")))))</f>
        <v>Entregado</v>
      </c>
      <c r="N192" s="23" t="s">
        <v>94</v>
      </c>
      <c r="P192" s="23" t="s">
        <v>400</v>
      </c>
      <c r="Q192" s="28"/>
    </row>
    <row r="193" spans="1:17" ht="16.5" hidden="1" x14ac:dyDescent="0.3">
      <c r="A193" s="23" t="s">
        <v>397</v>
      </c>
      <c r="B193" s="23" t="s">
        <v>52</v>
      </c>
      <c r="C193" s="23" t="s">
        <v>407</v>
      </c>
      <c r="D193" s="24">
        <v>46087</v>
      </c>
      <c r="E193" s="25">
        <v>10</v>
      </c>
      <c r="F193" s="24">
        <v>46087</v>
      </c>
      <c r="G193" s="23" t="s">
        <v>398</v>
      </c>
      <c r="H193" s="26">
        <v>56</v>
      </c>
      <c r="I193" s="24">
        <f t="shared" si="6"/>
        <v>46143</v>
      </c>
      <c r="J193" s="26">
        <f t="shared" ca="1" si="7"/>
        <v>-161</v>
      </c>
      <c r="K193" s="26" t="str">
        <f t="shared" ca="1" si="8"/>
        <v/>
      </c>
      <c r="L193" s="27" t="s">
        <v>1567</v>
      </c>
      <c r="M193" s="26" t="str">
        <f ca="1">IF(L193&lt;&gt;"","Entregado",IF(NOT(ISNUMBER(IF(Q193&lt;&gt;"",Q193,I193))),"REVISAR TE",IF(AND(ISNUMBER(Resumen!$B$3),IF(Q193&lt;&gt;"",Q193,I193)&lt;Resumen!$B$3),"REVISAR",IF(IF(Q193&lt;&gt;"",Q193,I193)&lt;TODAY(),"ATRASADO",IF(IF(Q193&lt;&gt;"",Q193,I193)-TODAY()&lt;=2,"POR VENCER","EN TIEMPO")))))</f>
        <v>Entregado</v>
      </c>
      <c r="N193" s="23" t="s">
        <v>94</v>
      </c>
      <c r="P193" s="23" t="s">
        <v>400</v>
      </c>
      <c r="Q193" s="28"/>
    </row>
    <row r="194" spans="1:17" ht="16.5" hidden="1" x14ac:dyDescent="0.3">
      <c r="A194" s="23" t="s">
        <v>397</v>
      </c>
      <c r="B194" s="23" t="s">
        <v>52</v>
      </c>
      <c r="C194" s="23" t="s">
        <v>408</v>
      </c>
      <c r="D194" s="24">
        <v>46087</v>
      </c>
      <c r="E194" s="25">
        <v>10</v>
      </c>
      <c r="F194" s="24">
        <v>46087</v>
      </c>
      <c r="G194" s="23" t="s">
        <v>398</v>
      </c>
      <c r="H194" s="26">
        <v>56</v>
      </c>
      <c r="I194" s="24">
        <f t="shared" ref="I194:I257" si="9">IF(AND(D194&lt;&gt;"",H194&lt;&gt;""),D194+H194,"")</f>
        <v>46143</v>
      </c>
      <c r="J194" s="26">
        <f t="shared" ref="J194:J257" ca="1" si="10">I194-TODAY()</f>
        <v>-161</v>
      </c>
      <c r="K194" s="26" t="str">
        <f t="shared" ref="K194:K257" ca="1" si="11">IF(AND(L194="",ISNUMBER(IF(Q194&lt;&gt;"",Q194,I194))),IF(IF(Q194&lt;&gt;"",Q194,I194)&lt;TODAY(),TODAY()-IF(Q194&lt;&gt;"",Q194,I194),""),"")</f>
        <v/>
      </c>
      <c r="L194" s="27" t="s">
        <v>1567</v>
      </c>
      <c r="M194" s="26" t="str">
        <f ca="1">IF(L194&lt;&gt;"","Entregado",IF(NOT(ISNUMBER(IF(Q194&lt;&gt;"",Q194,I194))),"REVISAR TE",IF(AND(ISNUMBER(Resumen!$B$3),IF(Q194&lt;&gt;"",Q194,I194)&lt;Resumen!$B$3),"REVISAR",IF(IF(Q194&lt;&gt;"",Q194,I194)&lt;TODAY(),"ATRASADO",IF(IF(Q194&lt;&gt;"",Q194,I194)-TODAY()&lt;=2,"POR VENCER","EN TIEMPO")))))</f>
        <v>Entregado</v>
      </c>
      <c r="N194" s="23" t="s">
        <v>94</v>
      </c>
      <c r="P194" s="23" t="s">
        <v>400</v>
      </c>
      <c r="Q194" s="28"/>
    </row>
    <row r="195" spans="1:17" ht="16.5" hidden="1" x14ac:dyDescent="0.3">
      <c r="A195" s="23" t="s">
        <v>397</v>
      </c>
      <c r="B195" s="23" t="s">
        <v>52</v>
      </c>
      <c r="C195" s="23" t="s">
        <v>409</v>
      </c>
      <c r="D195" s="24">
        <v>46087</v>
      </c>
      <c r="E195" s="25">
        <v>10</v>
      </c>
      <c r="F195" s="24">
        <v>46087</v>
      </c>
      <c r="G195" s="23" t="s">
        <v>398</v>
      </c>
      <c r="H195" s="26">
        <v>56</v>
      </c>
      <c r="I195" s="24">
        <f t="shared" si="9"/>
        <v>46143</v>
      </c>
      <c r="J195" s="26">
        <f t="shared" ca="1" si="10"/>
        <v>-161</v>
      </c>
      <c r="K195" s="26" t="str">
        <f t="shared" ca="1" si="11"/>
        <v/>
      </c>
      <c r="L195" s="27" t="s">
        <v>1567</v>
      </c>
      <c r="M195" s="26" t="str">
        <f ca="1">IF(L195&lt;&gt;"","Entregado",IF(NOT(ISNUMBER(IF(Q195&lt;&gt;"",Q195,I195))),"REVISAR TE",IF(AND(ISNUMBER(Resumen!$B$3),IF(Q195&lt;&gt;"",Q195,I195)&lt;Resumen!$B$3),"REVISAR",IF(IF(Q195&lt;&gt;"",Q195,I195)&lt;TODAY(),"ATRASADO",IF(IF(Q195&lt;&gt;"",Q195,I195)-TODAY()&lt;=2,"POR VENCER","EN TIEMPO")))))</f>
        <v>Entregado</v>
      </c>
      <c r="N195" s="23" t="s">
        <v>94</v>
      </c>
      <c r="P195" s="23" t="s">
        <v>400</v>
      </c>
      <c r="Q195" s="28"/>
    </row>
    <row r="196" spans="1:17" ht="16.5" hidden="1" x14ac:dyDescent="0.3">
      <c r="A196" s="23" t="s">
        <v>397</v>
      </c>
      <c r="B196" s="23" t="s">
        <v>52</v>
      </c>
      <c r="C196" s="23" t="s">
        <v>175</v>
      </c>
      <c r="D196" s="24">
        <v>46087</v>
      </c>
      <c r="E196" s="25">
        <v>1</v>
      </c>
      <c r="F196" s="24">
        <v>46087</v>
      </c>
      <c r="G196" s="23" t="s">
        <v>398</v>
      </c>
      <c r="H196" s="26">
        <v>56</v>
      </c>
      <c r="I196" s="24">
        <f t="shared" si="9"/>
        <v>46143</v>
      </c>
      <c r="J196" s="26">
        <f t="shared" ca="1" si="10"/>
        <v>-161</v>
      </c>
      <c r="K196" s="26" t="str">
        <f t="shared" ca="1" si="11"/>
        <v/>
      </c>
      <c r="L196" s="27" t="s">
        <v>1567</v>
      </c>
      <c r="M196" s="26" t="str">
        <f ca="1">IF(L196&lt;&gt;"","Entregado",IF(NOT(ISNUMBER(IF(Q196&lt;&gt;"",Q196,I196))),"REVISAR TE",IF(AND(ISNUMBER(Resumen!$B$3),IF(Q196&lt;&gt;"",Q196,I196)&lt;Resumen!$B$3),"REVISAR",IF(IF(Q196&lt;&gt;"",Q196,I196)&lt;TODAY(),"ATRASADO",IF(IF(Q196&lt;&gt;"",Q196,I196)-TODAY()&lt;=2,"POR VENCER","EN TIEMPO")))))</f>
        <v>Entregado</v>
      </c>
      <c r="N196" s="23" t="s">
        <v>174</v>
      </c>
      <c r="P196" s="23" t="s">
        <v>400</v>
      </c>
      <c r="Q196" s="28"/>
    </row>
    <row r="197" spans="1:17" ht="16.5" hidden="1" x14ac:dyDescent="0.3">
      <c r="A197" s="23" t="s">
        <v>410</v>
      </c>
      <c r="B197" s="23" t="s">
        <v>52</v>
      </c>
      <c r="C197" s="23" t="s">
        <v>413</v>
      </c>
      <c r="D197" s="24">
        <v>46088</v>
      </c>
      <c r="E197" s="25">
        <v>1</v>
      </c>
      <c r="F197" s="24">
        <v>46088</v>
      </c>
      <c r="G197" s="23" t="s">
        <v>411</v>
      </c>
      <c r="H197" s="26">
        <v>3</v>
      </c>
      <c r="I197" s="24">
        <f t="shared" si="9"/>
        <v>46091</v>
      </c>
      <c r="J197" s="26">
        <f t="shared" ca="1" si="10"/>
        <v>-213</v>
      </c>
      <c r="K197" s="26" t="str">
        <f t="shared" ca="1" si="11"/>
        <v/>
      </c>
      <c r="L197" s="27" t="s">
        <v>1567</v>
      </c>
      <c r="M197" s="26" t="str">
        <f ca="1">IF(L197&lt;&gt;"","Entregado",IF(NOT(ISNUMBER(IF(Q197&lt;&gt;"",Q197,I197))),"REVISAR TE",IF(AND(ISNUMBER(Resumen!$B$3),IF(Q197&lt;&gt;"",Q197,I197)&lt;Resumen!$B$3),"REVISAR",IF(IF(Q197&lt;&gt;"",Q197,I197)&lt;TODAY(),"ATRASADO",IF(IF(Q197&lt;&gt;"",Q197,I197)-TODAY()&lt;=2,"POR VENCER","EN TIEMPO")))))</f>
        <v>Entregado</v>
      </c>
      <c r="N197" s="23" t="s">
        <v>412</v>
      </c>
      <c r="P197" s="23" t="s">
        <v>414</v>
      </c>
      <c r="Q197" s="28"/>
    </row>
    <row r="198" spans="1:17" ht="16.5" hidden="1" x14ac:dyDescent="0.3">
      <c r="A198" s="23" t="s">
        <v>410</v>
      </c>
      <c r="B198" s="23" t="s">
        <v>52</v>
      </c>
      <c r="C198" s="23" t="s">
        <v>415</v>
      </c>
      <c r="D198" s="24">
        <v>46088</v>
      </c>
      <c r="E198" s="25">
        <v>1</v>
      </c>
      <c r="F198" s="24">
        <v>46088</v>
      </c>
      <c r="G198" s="23" t="s">
        <v>411</v>
      </c>
      <c r="H198" s="26">
        <v>3</v>
      </c>
      <c r="I198" s="24">
        <f t="shared" si="9"/>
        <v>46091</v>
      </c>
      <c r="J198" s="26">
        <f t="shared" ca="1" si="10"/>
        <v>-213</v>
      </c>
      <c r="K198" s="26" t="str">
        <f t="shared" ca="1" si="11"/>
        <v/>
      </c>
      <c r="L198" s="27" t="s">
        <v>1567</v>
      </c>
      <c r="M198" s="26" t="str">
        <f ca="1">IF(L198&lt;&gt;"","Entregado",IF(NOT(ISNUMBER(IF(Q198&lt;&gt;"",Q198,I198))),"REVISAR TE",IF(AND(ISNUMBER(Resumen!$B$3),IF(Q198&lt;&gt;"",Q198,I198)&lt;Resumen!$B$3),"REVISAR",IF(IF(Q198&lt;&gt;"",Q198,I198)&lt;TODAY(),"ATRASADO",IF(IF(Q198&lt;&gt;"",Q198,I198)-TODAY()&lt;=2,"POR VENCER","EN TIEMPO")))))</f>
        <v>Entregado</v>
      </c>
      <c r="N198" s="23" t="s">
        <v>412</v>
      </c>
      <c r="P198" s="23" t="s">
        <v>414</v>
      </c>
      <c r="Q198" s="28"/>
    </row>
    <row r="199" spans="1:17" ht="16.5" hidden="1" x14ac:dyDescent="0.3">
      <c r="A199" s="23" t="s">
        <v>410</v>
      </c>
      <c r="B199" s="23" t="s">
        <v>52</v>
      </c>
      <c r="C199" s="23" t="s">
        <v>416</v>
      </c>
      <c r="D199" s="24">
        <v>46088</v>
      </c>
      <c r="E199" s="25">
        <v>1</v>
      </c>
      <c r="F199" s="24">
        <v>46088</v>
      </c>
      <c r="G199" s="23" t="s">
        <v>411</v>
      </c>
      <c r="H199" s="26">
        <v>3</v>
      </c>
      <c r="I199" s="24">
        <f t="shared" si="9"/>
        <v>46091</v>
      </c>
      <c r="J199" s="26">
        <f t="shared" ca="1" si="10"/>
        <v>-213</v>
      </c>
      <c r="K199" s="26" t="str">
        <f t="shared" ca="1" si="11"/>
        <v/>
      </c>
      <c r="L199" s="27" t="s">
        <v>1567</v>
      </c>
      <c r="M199" s="26" t="str">
        <f ca="1">IF(L199&lt;&gt;"","Entregado",IF(NOT(ISNUMBER(IF(Q199&lt;&gt;"",Q199,I199))),"REVISAR TE",IF(AND(ISNUMBER(Resumen!$B$3),IF(Q199&lt;&gt;"",Q199,I199)&lt;Resumen!$B$3),"REVISAR",IF(IF(Q199&lt;&gt;"",Q199,I199)&lt;TODAY(),"ATRASADO",IF(IF(Q199&lt;&gt;"",Q199,I199)-TODAY()&lt;=2,"POR VENCER","EN TIEMPO")))))</f>
        <v>Entregado</v>
      </c>
      <c r="N199" s="23" t="s">
        <v>412</v>
      </c>
      <c r="P199" s="23" t="s">
        <v>414</v>
      </c>
      <c r="Q199" s="28"/>
    </row>
    <row r="200" spans="1:17" ht="16.5" hidden="1" x14ac:dyDescent="0.3">
      <c r="A200" s="23" t="s">
        <v>410</v>
      </c>
      <c r="B200" s="23" t="s">
        <v>52</v>
      </c>
      <c r="C200" s="23" t="s">
        <v>417</v>
      </c>
      <c r="D200" s="24">
        <v>46088</v>
      </c>
      <c r="E200" s="25">
        <v>1</v>
      </c>
      <c r="F200" s="24">
        <v>46088</v>
      </c>
      <c r="G200" s="23" t="s">
        <v>411</v>
      </c>
      <c r="H200" s="26">
        <v>3</v>
      </c>
      <c r="I200" s="24">
        <f t="shared" si="9"/>
        <v>46091</v>
      </c>
      <c r="J200" s="26">
        <f t="shared" ca="1" si="10"/>
        <v>-213</v>
      </c>
      <c r="K200" s="26" t="str">
        <f t="shared" ca="1" si="11"/>
        <v/>
      </c>
      <c r="L200" s="27" t="s">
        <v>1567</v>
      </c>
      <c r="M200" s="26" t="str">
        <f ca="1">IF(L200&lt;&gt;"","Entregado",IF(NOT(ISNUMBER(IF(Q200&lt;&gt;"",Q200,I200))),"REVISAR TE",IF(AND(ISNUMBER(Resumen!$B$3),IF(Q200&lt;&gt;"",Q200,I200)&lt;Resumen!$B$3),"REVISAR",IF(IF(Q200&lt;&gt;"",Q200,I200)&lt;TODAY(),"ATRASADO",IF(IF(Q200&lt;&gt;"",Q200,I200)-TODAY()&lt;=2,"POR VENCER","EN TIEMPO")))))</f>
        <v>Entregado</v>
      </c>
      <c r="N200" s="23" t="s">
        <v>412</v>
      </c>
      <c r="P200" s="23" t="s">
        <v>414</v>
      </c>
      <c r="Q200" s="28"/>
    </row>
    <row r="201" spans="1:17" ht="16.5" hidden="1" x14ac:dyDescent="0.3">
      <c r="A201" s="23" t="s">
        <v>418</v>
      </c>
      <c r="B201" s="23" t="s">
        <v>52</v>
      </c>
      <c r="C201" s="23" t="s">
        <v>419</v>
      </c>
      <c r="D201" s="24">
        <v>46088</v>
      </c>
      <c r="E201" s="25">
        <v>1</v>
      </c>
      <c r="F201" s="24">
        <v>46088</v>
      </c>
      <c r="G201" s="23" t="s">
        <v>132</v>
      </c>
      <c r="H201" s="26">
        <v>42</v>
      </c>
      <c r="I201" s="24">
        <f t="shared" si="9"/>
        <v>46130</v>
      </c>
      <c r="J201" s="26">
        <f t="shared" ca="1" si="10"/>
        <v>-174</v>
      </c>
      <c r="K201" s="26" t="str">
        <f t="shared" ca="1" si="11"/>
        <v/>
      </c>
      <c r="L201" s="27" t="s">
        <v>1567</v>
      </c>
      <c r="M201" s="26" t="str">
        <f ca="1">IF(L201&lt;&gt;"","Entregado",IF(NOT(ISNUMBER(IF(Q201&lt;&gt;"",Q201,I201))),"REVISAR TE",IF(AND(ISNUMBER(Resumen!$B$3),IF(Q201&lt;&gt;"",Q201,I201)&lt;Resumen!$B$3),"REVISAR",IF(IF(Q201&lt;&gt;"",Q201,I201)&lt;TODAY(),"ATRASADO",IF(IF(Q201&lt;&gt;"",Q201,I201)-TODAY()&lt;=2,"POR VENCER","EN TIEMPO")))))</f>
        <v>Entregado</v>
      </c>
      <c r="N201" s="23" t="s">
        <v>245</v>
      </c>
      <c r="P201" s="23" t="s">
        <v>420</v>
      </c>
      <c r="Q201" s="28"/>
    </row>
    <row r="202" spans="1:17" ht="16.5" hidden="1" x14ac:dyDescent="0.3">
      <c r="A202" s="23" t="s">
        <v>418</v>
      </c>
      <c r="B202" s="23" t="s">
        <v>52</v>
      </c>
      <c r="C202" s="23" t="s">
        <v>421</v>
      </c>
      <c r="D202" s="24">
        <v>46088</v>
      </c>
      <c r="E202" s="25">
        <v>1</v>
      </c>
      <c r="F202" s="24">
        <v>46088</v>
      </c>
      <c r="G202" s="23" t="s">
        <v>132</v>
      </c>
      <c r="H202" s="26">
        <v>42</v>
      </c>
      <c r="I202" s="24">
        <f t="shared" si="9"/>
        <v>46130</v>
      </c>
      <c r="J202" s="26">
        <f t="shared" ca="1" si="10"/>
        <v>-174</v>
      </c>
      <c r="K202" s="26" t="str">
        <f t="shared" ca="1" si="11"/>
        <v/>
      </c>
      <c r="L202" s="27" t="s">
        <v>1567</v>
      </c>
      <c r="M202" s="26" t="str">
        <f ca="1">IF(L202&lt;&gt;"","Entregado",IF(NOT(ISNUMBER(IF(Q202&lt;&gt;"",Q202,I202))),"REVISAR TE",IF(AND(ISNUMBER(Resumen!$B$3),IF(Q202&lt;&gt;"",Q202,I202)&lt;Resumen!$B$3),"REVISAR",IF(IF(Q202&lt;&gt;"",Q202,I202)&lt;TODAY(),"ATRASADO",IF(IF(Q202&lt;&gt;"",Q202,I202)-TODAY()&lt;=2,"POR VENCER","EN TIEMPO")))))</f>
        <v>Entregado</v>
      </c>
      <c r="N202" s="23" t="s">
        <v>245</v>
      </c>
      <c r="P202" s="23" t="s">
        <v>420</v>
      </c>
      <c r="Q202" s="28"/>
    </row>
    <row r="203" spans="1:17" ht="16.5" hidden="1" x14ac:dyDescent="0.3">
      <c r="A203" s="23" t="s">
        <v>422</v>
      </c>
      <c r="B203" s="23" t="s">
        <v>52</v>
      </c>
      <c r="C203" s="23" t="s">
        <v>424</v>
      </c>
      <c r="D203" s="24">
        <v>46088</v>
      </c>
      <c r="E203" s="25">
        <v>1</v>
      </c>
      <c r="F203" s="24">
        <v>46088</v>
      </c>
      <c r="G203" s="23" t="s">
        <v>423</v>
      </c>
      <c r="H203" s="26">
        <v>56</v>
      </c>
      <c r="I203" s="24">
        <f t="shared" si="9"/>
        <v>46144</v>
      </c>
      <c r="J203" s="26">
        <f t="shared" ca="1" si="10"/>
        <v>-160</v>
      </c>
      <c r="K203" s="26" t="str">
        <f t="shared" ca="1" si="11"/>
        <v/>
      </c>
      <c r="L203" s="27" t="s">
        <v>1567</v>
      </c>
      <c r="M203" s="26" t="str">
        <f ca="1">IF(L203&lt;&gt;"","Entregado",IF(NOT(ISNUMBER(IF(Q203&lt;&gt;"",Q203,I203))),"REVISAR TE",IF(AND(ISNUMBER(Resumen!$B$3),IF(Q203&lt;&gt;"",Q203,I203)&lt;Resumen!$B$3),"REVISAR",IF(IF(Q203&lt;&gt;"",Q203,I203)&lt;TODAY(),"ATRASADO",IF(IF(Q203&lt;&gt;"",Q203,I203)-TODAY()&lt;=2,"POR VENCER","EN TIEMPO")))))</f>
        <v>Entregado</v>
      </c>
      <c r="N203" s="23" t="s">
        <v>245</v>
      </c>
      <c r="P203" s="23" t="s">
        <v>425</v>
      </c>
      <c r="Q203" s="28"/>
    </row>
    <row r="204" spans="1:17" ht="16.5" hidden="1" x14ac:dyDescent="0.3">
      <c r="A204" s="23" t="s">
        <v>422</v>
      </c>
      <c r="B204" s="23" t="s">
        <v>52</v>
      </c>
      <c r="C204" s="23" t="s">
        <v>426</v>
      </c>
      <c r="D204" s="24">
        <v>46088</v>
      </c>
      <c r="E204" s="25">
        <v>1</v>
      </c>
      <c r="F204" s="24">
        <v>46088</v>
      </c>
      <c r="G204" s="23" t="s">
        <v>423</v>
      </c>
      <c r="H204" s="26">
        <v>56</v>
      </c>
      <c r="I204" s="24">
        <f t="shared" si="9"/>
        <v>46144</v>
      </c>
      <c r="J204" s="26">
        <f t="shared" ca="1" si="10"/>
        <v>-160</v>
      </c>
      <c r="K204" s="26" t="str">
        <f t="shared" ca="1" si="11"/>
        <v/>
      </c>
      <c r="L204" s="27" t="s">
        <v>1567</v>
      </c>
      <c r="M204" s="26" t="str">
        <f ca="1">IF(L204&lt;&gt;"","Entregado",IF(NOT(ISNUMBER(IF(Q204&lt;&gt;"",Q204,I204))),"REVISAR TE",IF(AND(ISNUMBER(Resumen!$B$3),IF(Q204&lt;&gt;"",Q204,I204)&lt;Resumen!$B$3),"REVISAR",IF(IF(Q204&lt;&gt;"",Q204,I204)&lt;TODAY(),"ATRASADO",IF(IF(Q204&lt;&gt;"",Q204,I204)-TODAY()&lt;=2,"POR VENCER","EN TIEMPO")))))</f>
        <v>Entregado</v>
      </c>
      <c r="N204" s="23" t="s">
        <v>245</v>
      </c>
      <c r="P204" s="23" t="s">
        <v>425</v>
      </c>
      <c r="Q204" s="28"/>
    </row>
    <row r="205" spans="1:17" ht="16.5" hidden="1" x14ac:dyDescent="0.3">
      <c r="A205" s="23" t="s">
        <v>422</v>
      </c>
      <c r="B205" s="23" t="s">
        <v>52</v>
      </c>
      <c r="C205" s="23" t="s">
        <v>427</v>
      </c>
      <c r="D205" s="24">
        <v>46088</v>
      </c>
      <c r="E205" s="25">
        <v>1</v>
      </c>
      <c r="F205" s="24">
        <v>46088</v>
      </c>
      <c r="G205" s="23" t="s">
        <v>423</v>
      </c>
      <c r="H205" s="26">
        <v>56</v>
      </c>
      <c r="I205" s="24">
        <f t="shared" si="9"/>
        <v>46144</v>
      </c>
      <c r="J205" s="26">
        <f t="shared" ca="1" si="10"/>
        <v>-160</v>
      </c>
      <c r="K205" s="26" t="str">
        <f t="shared" ca="1" si="11"/>
        <v/>
      </c>
      <c r="L205" s="27" t="s">
        <v>1567</v>
      </c>
      <c r="M205" s="26" t="str">
        <f ca="1">IF(L205&lt;&gt;"","Entregado",IF(NOT(ISNUMBER(IF(Q205&lt;&gt;"",Q205,I205))),"REVISAR TE",IF(AND(ISNUMBER(Resumen!$B$3),IF(Q205&lt;&gt;"",Q205,I205)&lt;Resumen!$B$3),"REVISAR",IF(IF(Q205&lt;&gt;"",Q205,I205)&lt;TODAY(),"ATRASADO",IF(IF(Q205&lt;&gt;"",Q205,I205)-TODAY()&lt;=2,"POR VENCER","EN TIEMPO")))))</f>
        <v>Entregado</v>
      </c>
      <c r="N205" s="23" t="s">
        <v>245</v>
      </c>
      <c r="P205" s="23" t="s">
        <v>425</v>
      </c>
      <c r="Q205" s="28"/>
    </row>
    <row r="206" spans="1:17" ht="16.5" hidden="1" x14ac:dyDescent="0.3">
      <c r="A206" s="23" t="s">
        <v>422</v>
      </c>
      <c r="B206" s="23" t="s">
        <v>52</v>
      </c>
      <c r="C206" s="23" t="s">
        <v>428</v>
      </c>
      <c r="D206" s="24">
        <v>46088</v>
      </c>
      <c r="E206" s="25">
        <v>1</v>
      </c>
      <c r="F206" s="24">
        <v>46088</v>
      </c>
      <c r="G206" s="23" t="s">
        <v>423</v>
      </c>
      <c r="H206" s="26">
        <v>56</v>
      </c>
      <c r="I206" s="24">
        <f t="shared" si="9"/>
        <v>46144</v>
      </c>
      <c r="J206" s="26">
        <f t="shared" ca="1" si="10"/>
        <v>-160</v>
      </c>
      <c r="K206" s="26" t="str">
        <f t="shared" ca="1" si="11"/>
        <v/>
      </c>
      <c r="L206" s="27" t="s">
        <v>1567</v>
      </c>
      <c r="M206" s="26" t="str">
        <f ca="1">IF(L206&lt;&gt;"","Entregado",IF(NOT(ISNUMBER(IF(Q206&lt;&gt;"",Q206,I206))),"REVISAR TE",IF(AND(ISNUMBER(Resumen!$B$3),IF(Q206&lt;&gt;"",Q206,I206)&lt;Resumen!$B$3),"REVISAR",IF(IF(Q206&lt;&gt;"",Q206,I206)&lt;TODAY(),"ATRASADO",IF(IF(Q206&lt;&gt;"",Q206,I206)-TODAY()&lt;=2,"POR VENCER","EN TIEMPO")))))</f>
        <v>Entregado</v>
      </c>
      <c r="N206" s="23" t="s">
        <v>245</v>
      </c>
      <c r="P206" s="23" t="s">
        <v>425</v>
      </c>
      <c r="Q206" s="28"/>
    </row>
    <row r="207" spans="1:17" ht="16.5" hidden="1" x14ac:dyDescent="0.3">
      <c r="A207" s="23" t="s">
        <v>422</v>
      </c>
      <c r="B207" s="23" t="s">
        <v>52</v>
      </c>
      <c r="C207" s="23" t="s">
        <v>429</v>
      </c>
      <c r="D207" s="24">
        <v>46088</v>
      </c>
      <c r="E207" s="25">
        <v>1</v>
      </c>
      <c r="F207" s="24">
        <v>46088</v>
      </c>
      <c r="G207" s="23" t="s">
        <v>423</v>
      </c>
      <c r="H207" s="26">
        <v>56</v>
      </c>
      <c r="I207" s="24">
        <f t="shared" si="9"/>
        <v>46144</v>
      </c>
      <c r="J207" s="26">
        <f t="shared" ca="1" si="10"/>
        <v>-160</v>
      </c>
      <c r="K207" s="26" t="str">
        <f t="shared" ca="1" si="11"/>
        <v/>
      </c>
      <c r="L207" s="27" t="s">
        <v>1567</v>
      </c>
      <c r="M207" s="26" t="str">
        <f ca="1">IF(L207&lt;&gt;"","Entregado",IF(NOT(ISNUMBER(IF(Q207&lt;&gt;"",Q207,I207))),"REVISAR TE",IF(AND(ISNUMBER(Resumen!$B$3),IF(Q207&lt;&gt;"",Q207,I207)&lt;Resumen!$B$3),"REVISAR",IF(IF(Q207&lt;&gt;"",Q207,I207)&lt;TODAY(),"ATRASADO",IF(IF(Q207&lt;&gt;"",Q207,I207)-TODAY()&lt;=2,"POR VENCER","EN TIEMPO")))))</f>
        <v>Entregado</v>
      </c>
      <c r="N207" s="23" t="s">
        <v>245</v>
      </c>
      <c r="P207" s="23" t="s">
        <v>425</v>
      </c>
      <c r="Q207" s="28"/>
    </row>
    <row r="208" spans="1:17" ht="16.5" hidden="1" x14ac:dyDescent="0.3">
      <c r="A208" s="23" t="s">
        <v>430</v>
      </c>
      <c r="B208" s="23" t="s">
        <v>56</v>
      </c>
      <c r="C208" s="23" t="s">
        <v>432</v>
      </c>
      <c r="D208" s="24">
        <v>46091</v>
      </c>
      <c r="E208" s="25">
        <v>1</v>
      </c>
      <c r="F208" s="24">
        <v>46091</v>
      </c>
      <c r="G208" s="23" t="s">
        <v>171</v>
      </c>
      <c r="H208" s="26">
        <v>7</v>
      </c>
      <c r="I208" s="24">
        <f t="shared" si="9"/>
        <v>46098</v>
      </c>
      <c r="J208" s="26">
        <f t="shared" ca="1" si="10"/>
        <v>-206</v>
      </c>
      <c r="K208" s="26" t="str">
        <f t="shared" ca="1" si="11"/>
        <v/>
      </c>
      <c r="L208" s="27" t="s">
        <v>1567</v>
      </c>
      <c r="M208" s="26" t="str">
        <f ca="1">IF(L208&lt;&gt;"","Entregado",IF(NOT(ISNUMBER(IF(Q208&lt;&gt;"",Q208,I208))),"REVISAR TE",IF(AND(ISNUMBER(Resumen!$B$3),IF(Q208&lt;&gt;"",Q208,I208)&lt;Resumen!$B$3),"REVISAR",IF(IF(Q208&lt;&gt;"",Q208,I208)&lt;TODAY(),"ATRASADO",IF(IF(Q208&lt;&gt;"",Q208,I208)-TODAY()&lt;=2,"POR VENCER","EN TIEMPO")))))</f>
        <v>Entregado</v>
      </c>
      <c r="N208" s="23" t="s">
        <v>431</v>
      </c>
      <c r="P208" s="23" t="s">
        <v>433</v>
      </c>
      <c r="Q208" s="28"/>
    </row>
    <row r="209" spans="1:17" ht="16.5" hidden="1" x14ac:dyDescent="0.3">
      <c r="A209" s="23" t="s">
        <v>434</v>
      </c>
      <c r="B209" s="23" t="s">
        <v>52</v>
      </c>
      <c r="C209" s="23" t="s">
        <v>435</v>
      </c>
      <c r="D209" s="24">
        <v>46091</v>
      </c>
      <c r="E209" s="25">
        <v>2</v>
      </c>
      <c r="F209" s="24">
        <v>46091</v>
      </c>
      <c r="G209" s="23" t="s">
        <v>156</v>
      </c>
      <c r="H209" s="26">
        <v>21</v>
      </c>
      <c r="I209" s="24">
        <f t="shared" si="9"/>
        <v>46112</v>
      </c>
      <c r="J209" s="26">
        <f t="shared" ca="1" si="10"/>
        <v>-192</v>
      </c>
      <c r="K209" s="26" t="str">
        <f t="shared" ca="1" si="11"/>
        <v/>
      </c>
      <c r="L209" s="27" t="s">
        <v>1567</v>
      </c>
      <c r="M209" s="26" t="str">
        <f ca="1">IF(L209&lt;&gt;"","Entregado",IF(NOT(ISNUMBER(IF(Q209&lt;&gt;"",Q209,I209))),"REVISAR TE",IF(AND(ISNUMBER(Resumen!$B$3),IF(Q209&lt;&gt;"",Q209,I209)&lt;Resumen!$B$3),"REVISAR",IF(IF(Q209&lt;&gt;"",Q209,I209)&lt;TODAY(),"ATRASADO",IF(IF(Q209&lt;&gt;"",Q209,I209)-TODAY()&lt;=2,"POR VENCER","EN TIEMPO")))))</f>
        <v>Entregado</v>
      </c>
      <c r="N209" s="23" t="s">
        <v>197</v>
      </c>
      <c r="P209" s="23" t="s">
        <v>436</v>
      </c>
      <c r="Q209" s="28"/>
    </row>
    <row r="210" spans="1:17" ht="16.5" hidden="1" x14ac:dyDescent="0.3">
      <c r="A210" s="23" t="s">
        <v>434</v>
      </c>
      <c r="B210" s="23" t="s">
        <v>52</v>
      </c>
      <c r="C210" s="23" t="s">
        <v>437</v>
      </c>
      <c r="D210" s="24">
        <v>46091</v>
      </c>
      <c r="E210" s="25">
        <v>2</v>
      </c>
      <c r="F210" s="24">
        <v>46091</v>
      </c>
      <c r="G210" s="23" t="s">
        <v>156</v>
      </c>
      <c r="H210" s="26">
        <v>21</v>
      </c>
      <c r="I210" s="24">
        <f t="shared" si="9"/>
        <v>46112</v>
      </c>
      <c r="J210" s="26">
        <f t="shared" ca="1" si="10"/>
        <v>-192</v>
      </c>
      <c r="K210" s="26" t="str">
        <f t="shared" ca="1" si="11"/>
        <v/>
      </c>
      <c r="L210" s="27" t="s">
        <v>1567</v>
      </c>
      <c r="M210" s="26" t="str">
        <f ca="1">IF(L210&lt;&gt;"","Entregado",IF(NOT(ISNUMBER(IF(Q210&lt;&gt;"",Q210,I210))),"REVISAR TE",IF(AND(ISNUMBER(Resumen!$B$3),IF(Q210&lt;&gt;"",Q210,I210)&lt;Resumen!$B$3),"REVISAR",IF(IF(Q210&lt;&gt;"",Q210,I210)&lt;TODAY(),"ATRASADO",IF(IF(Q210&lt;&gt;"",Q210,I210)-TODAY()&lt;=2,"POR VENCER","EN TIEMPO")))))</f>
        <v>Entregado</v>
      </c>
      <c r="N210" s="23" t="s">
        <v>197</v>
      </c>
      <c r="P210" s="23" t="s">
        <v>436</v>
      </c>
      <c r="Q210" s="28"/>
    </row>
    <row r="211" spans="1:17" ht="16.5" hidden="1" x14ac:dyDescent="0.3">
      <c r="A211" s="23" t="s">
        <v>434</v>
      </c>
      <c r="B211" s="23" t="s">
        <v>52</v>
      </c>
      <c r="C211" s="23" t="s">
        <v>438</v>
      </c>
      <c r="D211" s="24">
        <v>46091</v>
      </c>
      <c r="E211" s="25">
        <v>2</v>
      </c>
      <c r="F211" s="24">
        <v>46091</v>
      </c>
      <c r="G211" s="23" t="s">
        <v>156</v>
      </c>
      <c r="H211" s="26">
        <v>21</v>
      </c>
      <c r="I211" s="24">
        <f t="shared" si="9"/>
        <v>46112</v>
      </c>
      <c r="J211" s="26">
        <f t="shared" ca="1" si="10"/>
        <v>-192</v>
      </c>
      <c r="K211" s="26" t="str">
        <f t="shared" ca="1" si="11"/>
        <v/>
      </c>
      <c r="L211" s="27" t="s">
        <v>1567</v>
      </c>
      <c r="M211" s="26" t="str">
        <f ca="1">IF(L211&lt;&gt;"","Entregado",IF(NOT(ISNUMBER(IF(Q211&lt;&gt;"",Q211,I211))),"REVISAR TE",IF(AND(ISNUMBER(Resumen!$B$3),IF(Q211&lt;&gt;"",Q211,I211)&lt;Resumen!$B$3),"REVISAR",IF(IF(Q211&lt;&gt;"",Q211,I211)&lt;TODAY(),"ATRASADO",IF(IF(Q211&lt;&gt;"",Q211,I211)-TODAY()&lt;=2,"POR VENCER","EN TIEMPO")))))</f>
        <v>Entregado</v>
      </c>
      <c r="N211" s="23" t="s">
        <v>197</v>
      </c>
      <c r="P211" s="23" t="s">
        <v>436</v>
      </c>
      <c r="Q211" s="28"/>
    </row>
    <row r="212" spans="1:17" ht="16.5" hidden="1" x14ac:dyDescent="0.3">
      <c r="A212" s="23" t="s">
        <v>434</v>
      </c>
      <c r="B212" s="23" t="s">
        <v>52</v>
      </c>
      <c r="C212" s="23" t="s">
        <v>439</v>
      </c>
      <c r="D212" s="24">
        <v>46091</v>
      </c>
      <c r="E212" s="25">
        <v>2</v>
      </c>
      <c r="F212" s="24">
        <v>46091</v>
      </c>
      <c r="G212" s="23" t="s">
        <v>156</v>
      </c>
      <c r="H212" s="26">
        <v>21</v>
      </c>
      <c r="I212" s="24">
        <f t="shared" si="9"/>
        <v>46112</v>
      </c>
      <c r="J212" s="26">
        <f t="shared" ca="1" si="10"/>
        <v>-192</v>
      </c>
      <c r="K212" s="26" t="str">
        <f t="shared" ca="1" si="11"/>
        <v/>
      </c>
      <c r="L212" s="27" t="s">
        <v>1567</v>
      </c>
      <c r="M212" s="26" t="str">
        <f ca="1">IF(L212&lt;&gt;"","Entregado",IF(NOT(ISNUMBER(IF(Q212&lt;&gt;"",Q212,I212))),"REVISAR TE",IF(AND(ISNUMBER(Resumen!$B$3),IF(Q212&lt;&gt;"",Q212,I212)&lt;Resumen!$B$3),"REVISAR",IF(IF(Q212&lt;&gt;"",Q212,I212)&lt;TODAY(),"ATRASADO",IF(IF(Q212&lt;&gt;"",Q212,I212)-TODAY()&lt;=2,"POR VENCER","EN TIEMPO")))))</f>
        <v>Entregado</v>
      </c>
      <c r="N212" s="23" t="s">
        <v>197</v>
      </c>
      <c r="P212" s="23" t="s">
        <v>436</v>
      </c>
      <c r="Q212" s="28"/>
    </row>
    <row r="213" spans="1:17" ht="16.5" hidden="1" x14ac:dyDescent="0.3">
      <c r="A213" s="23" t="s">
        <v>434</v>
      </c>
      <c r="B213" s="23" t="s">
        <v>52</v>
      </c>
      <c r="C213" s="23" t="s">
        <v>440</v>
      </c>
      <c r="D213" s="24">
        <v>46091</v>
      </c>
      <c r="E213" s="25">
        <v>2</v>
      </c>
      <c r="F213" s="24">
        <v>46091</v>
      </c>
      <c r="G213" s="23" t="s">
        <v>156</v>
      </c>
      <c r="H213" s="26">
        <v>21</v>
      </c>
      <c r="I213" s="24">
        <f t="shared" si="9"/>
        <v>46112</v>
      </c>
      <c r="J213" s="26">
        <f t="shared" ca="1" si="10"/>
        <v>-192</v>
      </c>
      <c r="K213" s="26" t="str">
        <f t="shared" ca="1" si="11"/>
        <v/>
      </c>
      <c r="L213" s="27" t="s">
        <v>1567</v>
      </c>
      <c r="M213" s="26" t="str">
        <f ca="1">IF(L213&lt;&gt;"","Entregado",IF(NOT(ISNUMBER(IF(Q213&lt;&gt;"",Q213,I213))),"REVISAR TE",IF(AND(ISNUMBER(Resumen!$B$3),IF(Q213&lt;&gt;"",Q213,I213)&lt;Resumen!$B$3),"REVISAR",IF(IF(Q213&lt;&gt;"",Q213,I213)&lt;TODAY(),"ATRASADO",IF(IF(Q213&lt;&gt;"",Q213,I213)-TODAY()&lt;=2,"POR VENCER","EN TIEMPO")))))</f>
        <v>Entregado</v>
      </c>
      <c r="N213" s="23" t="s">
        <v>197</v>
      </c>
      <c r="P213" s="23" t="s">
        <v>436</v>
      </c>
      <c r="Q213" s="28"/>
    </row>
    <row r="214" spans="1:17" ht="16.5" hidden="1" x14ac:dyDescent="0.3">
      <c r="A214" s="23" t="s">
        <v>434</v>
      </c>
      <c r="B214" s="23" t="s">
        <v>52</v>
      </c>
      <c r="C214" s="23" t="s">
        <v>441</v>
      </c>
      <c r="D214" s="24">
        <v>46091</v>
      </c>
      <c r="E214" s="25">
        <v>2</v>
      </c>
      <c r="F214" s="24">
        <v>46091</v>
      </c>
      <c r="G214" s="23" t="s">
        <v>156</v>
      </c>
      <c r="H214" s="26">
        <v>21</v>
      </c>
      <c r="I214" s="24">
        <f t="shared" si="9"/>
        <v>46112</v>
      </c>
      <c r="J214" s="26">
        <f t="shared" ca="1" si="10"/>
        <v>-192</v>
      </c>
      <c r="K214" s="26" t="str">
        <f t="shared" ca="1" si="11"/>
        <v/>
      </c>
      <c r="L214" s="27" t="s">
        <v>1567</v>
      </c>
      <c r="M214" s="26" t="str">
        <f ca="1">IF(L214&lt;&gt;"","Entregado",IF(NOT(ISNUMBER(IF(Q214&lt;&gt;"",Q214,I214))),"REVISAR TE",IF(AND(ISNUMBER(Resumen!$B$3),IF(Q214&lt;&gt;"",Q214,I214)&lt;Resumen!$B$3),"REVISAR",IF(IF(Q214&lt;&gt;"",Q214,I214)&lt;TODAY(),"ATRASADO",IF(IF(Q214&lt;&gt;"",Q214,I214)-TODAY()&lt;=2,"POR VENCER","EN TIEMPO")))))</f>
        <v>Entregado</v>
      </c>
      <c r="N214" s="23" t="s">
        <v>197</v>
      </c>
      <c r="P214" s="23" t="s">
        <v>436</v>
      </c>
      <c r="Q214" s="28"/>
    </row>
    <row r="215" spans="1:17" ht="16.5" hidden="1" x14ac:dyDescent="0.3">
      <c r="A215" s="23" t="s">
        <v>434</v>
      </c>
      <c r="B215" s="23" t="s">
        <v>52</v>
      </c>
      <c r="C215" s="23" t="s">
        <v>442</v>
      </c>
      <c r="D215" s="24">
        <v>46091</v>
      </c>
      <c r="E215" s="25">
        <v>2</v>
      </c>
      <c r="F215" s="24">
        <v>46091</v>
      </c>
      <c r="G215" s="23" t="s">
        <v>156</v>
      </c>
      <c r="H215" s="26">
        <v>21</v>
      </c>
      <c r="I215" s="24">
        <f t="shared" si="9"/>
        <v>46112</v>
      </c>
      <c r="J215" s="26">
        <f t="shared" ca="1" si="10"/>
        <v>-192</v>
      </c>
      <c r="K215" s="26" t="str">
        <f t="shared" ca="1" si="11"/>
        <v/>
      </c>
      <c r="L215" s="27" t="s">
        <v>1567</v>
      </c>
      <c r="M215" s="26" t="str">
        <f ca="1">IF(L215&lt;&gt;"","Entregado",IF(NOT(ISNUMBER(IF(Q215&lt;&gt;"",Q215,I215))),"REVISAR TE",IF(AND(ISNUMBER(Resumen!$B$3),IF(Q215&lt;&gt;"",Q215,I215)&lt;Resumen!$B$3),"REVISAR",IF(IF(Q215&lt;&gt;"",Q215,I215)&lt;TODAY(),"ATRASADO",IF(IF(Q215&lt;&gt;"",Q215,I215)-TODAY()&lt;=2,"POR VENCER","EN TIEMPO")))))</f>
        <v>Entregado</v>
      </c>
      <c r="N215" s="23" t="s">
        <v>197</v>
      </c>
      <c r="P215" s="23" t="s">
        <v>436</v>
      </c>
      <c r="Q215" s="28"/>
    </row>
    <row r="216" spans="1:17" ht="16.5" hidden="1" x14ac:dyDescent="0.3">
      <c r="A216" s="23" t="s">
        <v>434</v>
      </c>
      <c r="B216" s="23" t="s">
        <v>52</v>
      </c>
      <c r="C216" s="23" t="s">
        <v>443</v>
      </c>
      <c r="D216" s="24">
        <v>46091</v>
      </c>
      <c r="E216" s="25">
        <v>2</v>
      </c>
      <c r="F216" s="24">
        <v>46091</v>
      </c>
      <c r="G216" s="23" t="s">
        <v>156</v>
      </c>
      <c r="H216" s="26">
        <v>21</v>
      </c>
      <c r="I216" s="24">
        <f t="shared" si="9"/>
        <v>46112</v>
      </c>
      <c r="J216" s="26">
        <f t="shared" ca="1" si="10"/>
        <v>-192</v>
      </c>
      <c r="K216" s="26" t="str">
        <f t="shared" ca="1" si="11"/>
        <v/>
      </c>
      <c r="L216" s="27" t="s">
        <v>1567</v>
      </c>
      <c r="M216" s="26" t="str">
        <f ca="1">IF(L216&lt;&gt;"","Entregado",IF(NOT(ISNUMBER(IF(Q216&lt;&gt;"",Q216,I216))),"REVISAR TE",IF(AND(ISNUMBER(Resumen!$B$3),IF(Q216&lt;&gt;"",Q216,I216)&lt;Resumen!$B$3),"REVISAR",IF(IF(Q216&lt;&gt;"",Q216,I216)&lt;TODAY(),"ATRASADO",IF(IF(Q216&lt;&gt;"",Q216,I216)-TODAY()&lt;=2,"POR VENCER","EN TIEMPO")))))</f>
        <v>Entregado</v>
      </c>
      <c r="N216" s="23" t="s">
        <v>197</v>
      </c>
      <c r="P216" s="23" t="s">
        <v>436</v>
      </c>
      <c r="Q216" s="28"/>
    </row>
    <row r="217" spans="1:17" ht="16.5" hidden="1" x14ac:dyDescent="0.3">
      <c r="A217" s="23" t="s">
        <v>434</v>
      </c>
      <c r="B217" s="23" t="s">
        <v>52</v>
      </c>
      <c r="C217" s="23" t="s">
        <v>444</v>
      </c>
      <c r="D217" s="24">
        <v>46091</v>
      </c>
      <c r="E217" s="25">
        <v>2</v>
      </c>
      <c r="F217" s="24">
        <v>46091</v>
      </c>
      <c r="G217" s="23" t="s">
        <v>156</v>
      </c>
      <c r="H217" s="26">
        <v>21</v>
      </c>
      <c r="I217" s="24">
        <f t="shared" si="9"/>
        <v>46112</v>
      </c>
      <c r="J217" s="26">
        <f t="shared" ca="1" si="10"/>
        <v>-192</v>
      </c>
      <c r="K217" s="26" t="str">
        <f t="shared" ca="1" si="11"/>
        <v/>
      </c>
      <c r="L217" s="27" t="s">
        <v>1567</v>
      </c>
      <c r="M217" s="26" t="str">
        <f ca="1">IF(L217&lt;&gt;"","Entregado",IF(NOT(ISNUMBER(IF(Q217&lt;&gt;"",Q217,I217))),"REVISAR TE",IF(AND(ISNUMBER(Resumen!$B$3),IF(Q217&lt;&gt;"",Q217,I217)&lt;Resumen!$B$3),"REVISAR",IF(IF(Q217&lt;&gt;"",Q217,I217)&lt;TODAY(),"ATRASADO",IF(IF(Q217&lt;&gt;"",Q217,I217)-TODAY()&lt;=2,"POR VENCER","EN TIEMPO")))))</f>
        <v>Entregado</v>
      </c>
      <c r="N217" s="23" t="s">
        <v>197</v>
      </c>
      <c r="P217" s="23" t="s">
        <v>436</v>
      </c>
      <c r="Q217" s="28"/>
    </row>
    <row r="218" spans="1:17" ht="16.5" hidden="1" x14ac:dyDescent="0.3">
      <c r="A218" s="23" t="s">
        <v>434</v>
      </c>
      <c r="B218" s="23" t="s">
        <v>52</v>
      </c>
      <c r="C218" s="23" t="s">
        <v>445</v>
      </c>
      <c r="D218" s="24">
        <v>46091</v>
      </c>
      <c r="E218" s="25">
        <v>2</v>
      </c>
      <c r="F218" s="24">
        <v>46091</v>
      </c>
      <c r="G218" s="23" t="s">
        <v>156</v>
      </c>
      <c r="H218" s="26">
        <v>21</v>
      </c>
      <c r="I218" s="24">
        <f t="shared" si="9"/>
        <v>46112</v>
      </c>
      <c r="J218" s="26">
        <f t="shared" ca="1" si="10"/>
        <v>-192</v>
      </c>
      <c r="K218" s="26" t="str">
        <f t="shared" ca="1" si="11"/>
        <v/>
      </c>
      <c r="L218" s="27" t="s">
        <v>1567</v>
      </c>
      <c r="M218" s="26" t="str">
        <f ca="1">IF(L218&lt;&gt;"","Entregado",IF(NOT(ISNUMBER(IF(Q218&lt;&gt;"",Q218,I218))),"REVISAR TE",IF(AND(ISNUMBER(Resumen!$B$3),IF(Q218&lt;&gt;"",Q218,I218)&lt;Resumen!$B$3),"REVISAR",IF(IF(Q218&lt;&gt;"",Q218,I218)&lt;TODAY(),"ATRASADO",IF(IF(Q218&lt;&gt;"",Q218,I218)-TODAY()&lt;=2,"POR VENCER","EN TIEMPO")))))</f>
        <v>Entregado</v>
      </c>
      <c r="N218" s="23" t="s">
        <v>197</v>
      </c>
      <c r="P218" s="23" t="s">
        <v>436</v>
      </c>
      <c r="Q218" s="28"/>
    </row>
    <row r="219" spans="1:17" ht="16.5" hidden="1" x14ac:dyDescent="0.3">
      <c r="A219" s="23" t="s">
        <v>434</v>
      </c>
      <c r="B219" s="23" t="s">
        <v>52</v>
      </c>
      <c r="C219" s="23" t="s">
        <v>446</v>
      </c>
      <c r="D219" s="24">
        <v>46091</v>
      </c>
      <c r="E219" s="25">
        <v>2</v>
      </c>
      <c r="F219" s="24">
        <v>46091</v>
      </c>
      <c r="G219" s="23" t="s">
        <v>156</v>
      </c>
      <c r="H219" s="26">
        <v>21</v>
      </c>
      <c r="I219" s="24">
        <f t="shared" si="9"/>
        <v>46112</v>
      </c>
      <c r="J219" s="26">
        <f t="shared" ca="1" si="10"/>
        <v>-192</v>
      </c>
      <c r="K219" s="26" t="str">
        <f t="shared" ca="1" si="11"/>
        <v/>
      </c>
      <c r="L219" s="27" t="s">
        <v>1567</v>
      </c>
      <c r="M219" s="26" t="str">
        <f ca="1">IF(L219&lt;&gt;"","Entregado",IF(NOT(ISNUMBER(IF(Q219&lt;&gt;"",Q219,I219))),"REVISAR TE",IF(AND(ISNUMBER(Resumen!$B$3),IF(Q219&lt;&gt;"",Q219,I219)&lt;Resumen!$B$3),"REVISAR",IF(IF(Q219&lt;&gt;"",Q219,I219)&lt;TODAY(),"ATRASADO",IF(IF(Q219&lt;&gt;"",Q219,I219)-TODAY()&lt;=2,"POR VENCER","EN TIEMPO")))))</f>
        <v>Entregado</v>
      </c>
      <c r="N219" s="23" t="s">
        <v>197</v>
      </c>
      <c r="P219" s="23" t="s">
        <v>436</v>
      </c>
      <c r="Q219" s="28"/>
    </row>
    <row r="220" spans="1:17" ht="16.5" hidden="1" x14ac:dyDescent="0.3">
      <c r="A220" s="23" t="s">
        <v>434</v>
      </c>
      <c r="B220" s="23" t="s">
        <v>52</v>
      </c>
      <c r="C220" s="23" t="s">
        <v>447</v>
      </c>
      <c r="D220" s="24">
        <v>46091</v>
      </c>
      <c r="E220" s="25">
        <v>2</v>
      </c>
      <c r="F220" s="24">
        <v>46091</v>
      </c>
      <c r="G220" s="23" t="s">
        <v>156</v>
      </c>
      <c r="H220" s="26">
        <v>21</v>
      </c>
      <c r="I220" s="24">
        <f t="shared" si="9"/>
        <v>46112</v>
      </c>
      <c r="J220" s="26">
        <f t="shared" ca="1" si="10"/>
        <v>-192</v>
      </c>
      <c r="K220" s="26" t="str">
        <f t="shared" ca="1" si="11"/>
        <v/>
      </c>
      <c r="L220" s="27" t="s">
        <v>1567</v>
      </c>
      <c r="M220" s="26" t="str">
        <f ca="1">IF(L220&lt;&gt;"","Entregado",IF(NOT(ISNUMBER(IF(Q220&lt;&gt;"",Q220,I220))),"REVISAR TE",IF(AND(ISNUMBER(Resumen!$B$3),IF(Q220&lt;&gt;"",Q220,I220)&lt;Resumen!$B$3),"REVISAR",IF(IF(Q220&lt;&gt;"",Q220,I220)&lt;TODAY(),"ATRASADO",IF(IF(Q220&lt;&gt;"",Q220,I220)-TODAY()&lt;=2,"POR VENCER","EN TIEMPO")))))</f>
        <v>Entregado</v>
      </c>
      <c r="N220" s="23" t="s">
        <v>197</v>
      </c>
      <c r="P220" s="23" t="s">
        <v>436</v>
      </c>
      <c r="Q220" s="28"/>
    </row>
    <row r="221" spans="1:17" ht="16.5" hidden="1" x14ac:dyDescent="0.3">
      <c r="A221" s="23" t="s">
        <v>434</v>
      </c>
      <c r="B221" s="23" t="s">
        <v>52</v>
      </c>
      <c r="C221" s="23" t="s">
        <v>448</v>
      </c>
      <c r="D221" s="24">
        <v>46091</v>
      </c>
      <c r="E221" s="25">
        <v>2</v>
      </c>
      <c r="F221" s="24">
        <v>46091</v>
      </c>
      <c r="G221" s="23" t="s">
        <v>156</v>
      </c>
      <c r="H221" s="26">
        <v>21</v>
      </c>
      <c r="I221" s="24">
        <f t="shared" si="9"/>
        <v>46112</v>
      </c>
      <c r="J221" s="26">
        <f t="shared" ca="1" si="10"/>
        <v>-192</v>
      </c>
      <c r="K221" s="26" t="str">
        <f t="shared" ca="1" si="11"/>
        <v/>
      </c>
      <c r="L221" s="27" t="s">
        <v>1567</v>
      </c>
      <c r="M221" s="26" t="str">
        <f ca="1">IF(L221&lt;&gt;"","Entregado",IF(NOT(ISNUMBER(IF(Q221&lt;&gt;"",Q221,I221))),"REVISAR TE",IF(AND(ISNUMBER(Resumen!$B$3),IF(Q221&lt;&gt;"",Q221,I221)&lt;Resumen!$B$3),"REVISAR",IF(IF(Q221&lt;&gt;"",Q221,I221)&lt;TODAY(),"ATRASADO",IF(IF(Q221&lt;&gt;"",Q221,I221)-TODAY()&lt;=2,"POR VENCER","EN TIEMPO")))))</f>
        <v>Entregado</v>
      </c>
      <c r="N221" s="23" t="s">
        <v>197</v>
      </c>
      <c r="P221" s="23" t="s">
        <v>436</v>
      </c>
      <c r="Q221" s="28"/>
    </row>
    <row r="222" spans="1:17" ht="16.5" hidden="1" x14ac:dyDescent="0.3">
      <c r="A222" s="23" t="s">
        <v>434</v>
      </c>
      <c r="B222" s="23" t="s">
        <v>52</v>
      </c>
      <c r="C222" s="23" t="s">
        <v>449</v>
      </c>
      <c r="D222" s="24">
        <v>46091</v>
      </c>
      <c r="E222" s="25">
        <v>2</v>
      </c>
      <c r="F222" s="24">
        <v>46091</v>
      </c>
      <c r="G222" s="23" t="s">
        <v>156</v>
      </c>
      <c r="H222" s="26">
        <v>21</v>
      </c>
      <c r="I222" s="24">
        <f t="shared" si="9"/>
        <v>46112</v>
      </c>
      <c r="J222" s="26">
        <f t="shared" ca="1" si="10"/>
        <v>-192</v>
      </c>
      <c r="K222" s="26" t="str">
        <f t="shared" ca="1" si="11"/>
        <v/>
      </c>
      <c r="L222" s="27" t="s">
        <v>1567</v>
      </c>
      <c r="M222" s="26" t="str">
        <f ca="1">IF(L222&lt;&gt;"","Entregado",IF(NOT(ISNUMBER(IF(Q222&lt;&gt;"",Q222,I222))),"REVISAR TE",IF(AND(ISNUMBER(Resumen!$B$3),IF(Q222&lt;&gt;"",Q222,I222)&lt;Resumen!$B$3),"REVISAR",IF(IF(Q222&lt;&gt;"",Q222,I222)&lt;TODAY(),"ATRASADO",IF(IF(Q222&lt;&gt;"",Q222,I222)-TODAY()&lt;=2,"POR VENCER","EN TIEMPO")))))</f>
        <v>Entregado</v>
      </c>
      <c r="N222" s="23" t="s">
        <v>197</v>
      </c>
      <c r="P222" s="23" t="s">
        <v>436</v>
      </c>
      <c r="Q222" s="28"/>
    </row>
    <row r="223" spans="1:17" ht="16.5" hidden="1" x14ac:dyDescent="0.3">
      <c r="A223" s="23" t="s">
        <v>450</v>
      </c>
      <c r="B223" s="23" t="s">
        <v>52</v>
      </c>
      <c r="C223" s="23" t="s">
        <v>451</v>
      </c>
      <c r="D223" s="24">
        <v>46091</v>
      </c>
      <c r="E223" s="25">
        <v>2</v>
      </c>
      <c r="F223" s="24">
        <v>46091</v>
      </c>
      <c r="G223" s="23" t="s">
        <v>180</v>
      </c>
      <c r="H223" s="26">
        <v>14</v>
      </c>
      <c r="I223" s="24">
        <f t="shared" si="9"/>
        <v>46105</v>
      </c>
      <c r="J223" s="26">
        <f t="shared" ca="1" si="10"/>
        <v>-199</v>
      </c>
      <c r="K223" s="26" t="str">
        <f t="shared" ca="1" si="11"/>
        <v/>
      </c>
      <c r="L223" s="27" t="s">
        <v>1567</v>
      </c>
      <c r="M223" s="26" t="str">
        <f ca="1">IF(L223&lt;&gt;"","Entregado",IF(NOT(ISNUMBER(IF(Q223&lt;&gt;"",Q223,I223))),"REVISAR TE",IF(AND(ISNUMBER(Resumen!$B$3),IF(Q223&lt;&gt;"",Q223,I223)&lt;Resumen!$B$3),"REVISAR",IF(IF(Q223&lt;&gt;"",Q223,I223)&lt;TODAY(),"ATRASADO",IF(IF(Q223&lt;&gt;"",Q223,I223)-TODAY()&lt;=2,"POR VENCER","EN TIEMPO")))))</f>
        <v>Entregado</v>
      </c>
      <c r="N223" s="23" t="s">
        <v>94</v>
      </c>
      <c r="P223" s="23" t="s">
        <v>452</v>
      </c>
      <c r="Q223" s="28"/>
    </row>
    <row r="224" spans="1:17" ht="16.5" hidden="1" x14ac:dyDescent="0.3">
      <c r="A224" s="23" t="s">
        <v>453</v>
      </c>
      <c r="B224" s="23" t="s">
        <v>52</v>
      </c>
      <c r="C224" s="23" t="s">
        <v>454</v>
      </c>
      <c r="D224" s="24">
        <v>46091</v>
      </c>
      <c r="E224" s="25">
        <v>2</v>
      </c>
      <c r="F224" s="24">
        <v>46091</v>
      </c>
      <c r="G224" s="23" t="s">
        <v>83</v>
      </c>
      <c r="H224" s="26">
        <v>21</v>
      </c>
      <c r="I224" s="24">
        <f t="shared" si="9"/>
        <v>46112</v>
      </c>
      <c r="J224" s="26">
        <f t="shared" ca="1" si="10"/>
        <v>-192</v>
      </c>
      <c r="K224" s="26" t="str">
        <f t="shared" ca="1" si="11"/>
        <v/>
      </c>
      <c r="L224" s="27" t="s">
        <v>1567</v>
      </c>
      <c r="M224" s="26" t="str">
        <f ca="1">IF(L224&lt;&gt;"","Entregado",IF(NOT(ISNUMBER(IF(Q224&lt;&gt;"",Q224,I224))),"REVISAR TE",IF(AND(ISNUMBER(Resumen!$B$3),IF(Q224&lt;&gt;"",Q224,I224)&lt;Resumen!$B$3),"REVISAR",IF(IF(Q224&lt;&gt;"",Q224,I224)&lt;TODAY(),"ATRASADO",IF(IF(Q224&lt;&gt;"",Q224,I224)-TODAY()&lt;=2,"POR VENCER","EN TIEMPO")))))</f>
        <v>Entregado</v>
      </c>
      <c r="N224" s="23" t="s">
        <v>94</v>
      </c>
      <c r="P224" s="23" t="s">
        <v>455</v>
      </c>
      <c r="Q224" s="28"/>
    </row>
    <row r="225" spans="1:17" ht="16.5" hidden="1" x14ac:dyDescent="0.3">
      <c r="A225" s="23" t="s">
        <v>456</v>
      </c>
      <c r="B225" s="23" t="s">
        <v>52</v>
      </c>
      <c r="C225" s="23" t="s">
        <v>457</v>
      </c>
      <c r="D225" s="24">
        <v>46091</v>
      </c>
      <c r="E225" s="25">
        <v>1</v>
      </c>
      <c r="F225" s="24">
        <v>46091</v>
      </c>
      <c r="G225" s="23" t="s">
        <v>171</v>
      </c>
      <c r="H225" s="26">
        <v>7</v>
      </c>
      <c r="I225" s="24">
        <f t="shared" si="9"/>
        <v>46098</v>
      </c>
      <c r="J225" s="26">
        <f t="shared" ca="1" si="10"/>
        <v>-206</v>
      </c>
      <c r="K225" s="26" t="str">
        <f t="shared" ca="1" si="11"/>
        <v/>
      </c>
      <c r="L225" s="27" t="s">
        <v>1567</v>
      </c>
      <c r="M225" s="26" t="str">
        <f ca="1">IF(L225&lt;&gt;"","Entregado",IF(NOT(ISNUMBER(IF(Q225&lt;&gt;"",Q225,I225))),"REVISAR TE",IF(AND(ISNUMBER(Resumen!$B$3),IF(Q225&lt;&gt;"",Q225,I225)&lt;Resumen!$B$3),"REVISAR",IF(IF(Q225&lt;&gt;"",Q225,I225)&lt;TODAY(),"ATRASADO",IF(IF(Q225&lt;&gt;"",Q225,I225)-TODAY()&lt;=2,"POR VENCER","EN TIEMPO")))))</f>
        <v>Entregado</v>
      </c>
      <c r="N225" s="23" t="s">
        <v>216</v>
      </c>
      <c r="P225" s="23" t="s">
        <v>458</v>
      </c>
      <c r="Q225" s="28"/>
    </row>
    <row r="226" spans="1:17" ht="16.5" hidden="1" x14ac:dyDescent="0.3">
      <c r="A226" s="23" t="s">
        <v>459</v>
      </c>
      <c r="B226" s="23" t="s">
        <v>52</v>
      </c>
      <c r="C226" s="23" t="s">
        <v>461</v>
      </c>
      <c r="D226" s="24">
        <v>46092</v>
      </c>
      <c r="E226" s="25">
        <v>1</v>
      </c>
      <c r="F226" s="24">
        <v>46092</v>
      </c>
      <c r="G226" s="23" t="s">
        <v>171</v>
      </c>
      <c r="H226" s="26">
        <v>7</v>
      </c>
      <c r="I226" s="24">
        <f t="shared" si="9"/>
        <v>46099</v>
      </c>
      <c r="J226" s="26">
        <f t="shared" ca="1" si="10"/>
        <v>-205</v>
      </c>
      <c r="K226" s="26" t="str">
        <f t="shared" ca="1" si="11"/>
        <v/>
      </c>
      <c r="L226" s="27" t="s">
        <v>1567</v>
      </c>
      <c r="M226" s="26" t="str">
        <f ca="1">IF(L226&lt;&gt;"","Entregado",IF(NOT(ISNUMBER(IF(Q226&lt;&gt;"",Q226,I226))),"REVISAR TE",IF(AND(ISNUMBER(Resumen!$B$3),IF(Q226&lt;&gt;"",Q226,I226)&lt;Resumen!$B$3),"REVISAR",IF(IF(Q226&lt;&gt;"",Q226,I226)&lt;TODAY(),"ATRASADO",IF(IF(Q226&lt;&gt;"",Q226,I226)-TODAY()&lt;=2,"POR VENCER","EN TIEMPO")))))</f>
        <v>Entregado</v>
      </c>
      <c r="N226" s="23" t="s">
        <v>460</v>
      </c>
      <c r="P226" s="23" t="s">
        <v>462</v>
      </c>
      <c r="Q226" s="28"/>
    </row>
    <row r="227" spans="1:17" ht="16.5" hidden="1" x14ac:dyDescent="0.3">
      <c r="A227" s="23" t="s">
        <v>463</v>
      </c>
      <c r="B227" s="23" t="s">
        <v>52</v>
      </c>
      <c r="C227" s="23" t="s">
        <v>464</v>
      </c>
      <c r="D227" s="24">
        <v>46092</v>
      </c>
      <c r="E227" s="25">
        <v>1</v>
      </c>
      <c r="F227" s="24">
        <v>46092</v>
      </c>
      <c r="G227" s="23" t="s">
        <v>196</v>
      </c>
      <c r="H227" s="26">
        <v>10</v>
      </c>
      <c r="I227" s="24">
        <f t="shared" si="9"/>
        <v>46102</v>
      </c>
      <c r="J227" s="26">
        <f t="shared" ca="1" si="10"/>
        <v>-202</v>
      </c>
      <c r="K227" s="26" t="str">
        <f t="shared" ca="1" si="11"/>
        <v/>
      </c>
      <c r="L227" s="27" t="s">
        <v>1567</v>
      </c>
      <c r="M227" s="26" t="str">
        <f ca="1">IF(L227&lt;&gt;"","Entregado",IF(NOT(ISNUMBER(IF(Q227&lt;&gt;"",Q227,I227))),"REVISAR TE",IF(AND(ISNUMBER(Resumen!$B$3),IF(Q227&lt;&gt;"",Q227,I227)&lt;Resumen!$B$3),"REVISAR",IF(IF(Q227&lt;&gt;"",Q227,I227)&lt;TODAY(),"ATRASADO",IF(IF(Q227&lt;&gt;"",Q227,I227)-TODAY()&lt;=2,"POR VENCER","EN TIEMPO")))))</f>
        <v>Entregado</v>
      </c>
      <c r="N227" s="23" t="s">
        <v>165</v>
      </c>
      <c r="P227" s="23" t="s">
        <v>465</v>
      </c>
      <c r="Q227" s="28"/>
    </row>
    <row r="228" spans="1:17" ht="16.5" hidden="1" x14ac:dyDescent="0.3">
      <c r="A228" s="23" t="s">
        <v>466</v>
      </c>
      <c r="B228" s="23" t="s">
        <v>55</v>
      </c>
      <c r="C228" s="23" t="s">
        <v>467</v>
      </c>
      <c r="D228" s="24">
        <v>46093</v>
      </c>
      <c r="E228" s="25">
        <v>4</v>
      </c>
      <c r="F228" s="24">
        <v>46093</v>
      </c>
      <c r="G228" s="23" t="s">
        <v>93</v>
      </c>
      <c r="H228" s="26">
        <v>28</v>
      </c>
      <c r="I228" s="24">
        <f t="shared" si="9"/>
        <v>46121</v>
      </c>
      <c r="J228" s="26">
        <f t="shared" ca="1" si="10"/>
        <v>-183</v>
      </c>
      <c r="K228" s="26" t="str">
        <f t="shared" ca="1" si="11"/>
        <v/>
      </c>
      <c r="L228" s="27" t="s">
        <v>1567</v>
      </c>
      <c r="M228" s="26" t="str">
        <f ca="1">IF(L228&lt;&gt;"","Entregado",IF(NOT(ISNUMBER(IF(Q228&lt;&gt;"",Q228,I228))),"REVISAR TE",IF(AND(ISNUMBER(Resumen!$B$3),IF(Q228&lt;&gt;"",Q228,I228)&lt;Resumen!$B$3),"REVISAR",IF(IF(Q228&lt;&gt;"",Q228,I228)&lt;TODAY(),"ATRASADO",IF(IF(Q228&lt;&gt;"",Q228,I228)-TODAY()&lt;=2,"POR VENCER","EN TIEMPO")))))</f>
        <v>Entregado</v>
      </c>
      <c r="N228" s="23" t="s">
        <v>98</v>
      </c>
      <c r="P228" s="23" t="s">
        <v>468</v>
      </c>
      <c r="Q228" s="28"/>
    </row>
    <row r="229" spans="1:17" ht="16.5" hidden="1" x14ac:dyDescent="0.3">
      <c r="A229" s="23" t="s">
        <v>466</v>
      </c>
      <c r="B229" s="23" t="s">
        <v>55</v>
      </c>
      <c r="C229" s="23" t="s">
        <v>469</v>
      </c>
      <c r="D229" s="24">
        <v>46093</v>
      </c>
      <c r="E229" s="25">
        <v>1</v>
      </c>
      <c r="F229" s="24">
        <v>46093</v>
      </c>
      <c r="G229" s="23" t="s">
        <v>93</v>
      </c>
      <c r="H229" s="26">
        <v>28</v>
      </c>
      <c r="I229" s="24">
        <f t="shared" si="9"/>
        <v>46121</v>
      </c>
      <c r="J229" s="26">
        <f t="shared" ca="1" si="10"/>
        <v>-183</v>
      </c>
      <c r="K229" s="26" t="str">
        <f t="shared" ca="1" si="11"/>
        <v/>
      </c>
      <c r="L229" s="27" t="s">
        <v>1567</v>
      </c>
      <c r="M229" s="26" t="str">
        <f ca="1">IF(L229&lt;&gt;"","Entregado",IF(NOT(ISNUMBER(IF(Q229&lt;&gt;"",Q229,I229))),"REVISAR TE",IF(AND(ISNUMBER(Resumen!$B$3),IF(Q229&lt;&gt;"",Q229,I229)&lt;Resumen!$B$3),"REVISAR",IF(IF(Q229&lt;&gt;"",Q229,I229)&lt;TODAY(),"ATRASADO",IF(IF(Q229&lt;&gt;"",Q229,I229)-TODAY()&lt;=2,"POR VENCER","EN TIEMPO")))))</f>
        <v>Entregado</v>
      </c>
      <c r="N229" s="23" t="s">
        <v>245</v>
      </c>
      <c r="P229" s="23" t="s">
        <v>468</v>
      </c>
      <c r="Q229" s="28"/>
    </row>
    <row r="230" spans="1:17" ht="16.5" hidden="1" x14ac:dyDescent="0.3">
      <c r="A230" s="23" t="s">
        <v>466</v>
      </c>
      <c r="B230" s="23" t="s">
        <v>55</v>
      </c>
      <c r="C230" s="23" t="s">
        <v>470</v>
      </c>
      <c r="D230" s="24">
        <v>46093</v>
      </c>
      <c r="E230" s="25">
        <v>1</v>
      </c>
      <c r="F230" s="24">
        <v>46093</v>
      </c>
      <c r="G230" s="23" t="s">
        <v>93</v>
      </c>
      <c r="H230" s="26">
        <v>28</v>
      </c>
      <c r="I230" s="24">
        <f t="shared" si="9"/>
        <v>46121</v>
      </c>
      <c r="J230" s="26">
        <f t="shared" ca="1" si="10"/>
        <v>-183</v>
      </c>
      <c r="K230" s="26" t="str">
        <f t="shared" ca="1" si="11"/>
        <v/>
      </c>
      <c r="L230" s="27" t="s">
        <v>1567</v>
      </c>
      <c r="M230" s="26" t="str">
        <f ca="1">IF(L230&lt;&gt;"","Entregado",IF(NOT(ISNUMBER(IF(Q230&lt;&gt;"",Q230,I230))),"REVISAR TE",IF(AND(ISNUMBER(Resumen!$B$3),IF(Q230&lt;&gt;"",Q230,I230)&lt;Resumen!$B$3),"REVISAR",IF(IF(Q230&lt;&gt;"",Q230,I230)&lt;TODAY(),"ATRASADO",IF(IF(Q230&lt;&gt;"",Q230,I230)-TODAY()&lt;=2,"POR VENCER","EN TIEMPO")))))</f>
        <v>Entregado</v>
      </c>
      <c r="N230" s="23" t="s">
        <v>245</v>
      </c>
      <c r="P230" s="23" t="s">
        <v>468</v>
      </c>
      <c r="Q230" s="28"/>
    </row>
    <row r="231" spans="1:17" ht="16.5" hidden="1" x14ac:dyDescent="0.3">
      <c r="A231" s="23" t="s">
        <v>471</v>
      </c>
      <c r="B231" s="23" t="s">
        <v>54</v>
      </c>
      <c r="C231" s="23" t="s">
        <v>472</v>
      </c>
      <c r="D231" s="24">
        <v>46094</v>
      </c>
      <c r="E231" s="25">
        <v>1</v>
      </c>
      <c r="F231" s="24">
        <v>46094</v>
      </c>
      <c r="G231" s="23" t="s">
        <v>93</v>
      </c>
      <c r="H231" s="26">
        <v>28</v>
      </c>
      <c r="I231" s="24">
        <f t="shared" si="9"/>
        <v>46122</v>
      </c>
      <c r="J231" s="26">
        <f t="shared" ca="1" si="10"/>
        <v>-182</v>
      </c>
      <c r="K231" s="26" t="str">
        <f t="shared" ca="1" si="11"/>
        <v/>
      </c>
      <c r="L231" s="27" t="s">
        <v>1567</v>
      </c>
      <c r="M231" s="26" t="str">
        <f ca="1">IF(L231&lt;&gt;"","Entregado",IF(NOT(ISNUMBER(IF(Q231&lt;&gt;"",Q231,I231))),"REVISAR TE",IF(AND(ISNUMBER(Resumen!$B$3),IF(Q231&lt;&gt;"",Q231,I231)&lt;Resumen!$B$3),"REVISAR",IF(IF(Q231&lt;&gt;"",Q231,I231)&lt;TODAY(),"ATRASADO",IF(IF(Q231&lt;&gt;"",Q231,I231)-TODAY()&lt;=2,"POR VENCER","EN TIEMPO")))))</f>
        <v>Entregado</v>
      </c>
      <c r="N231" s="23" t="s">
        <v>245</v>
      </c>
      <c r="P231" s="23" t="s">
        <v>473</v>
      </c>
      <c r="Q231" s="28"/>
    </row>
    <row r="232" spans="1:17" ht="16.5" hidden="1" x14ac:dyDescent="0.3">
      <c r="A232" s="23" t="s">
        <v>471</v>
      </c>
      <c r="B232" s="23" t="s">
        <v>54</v>
      </c>
      <c r="C232" s="23" t="s">
        <v>474</v>
      </c>
      <c r="D232" s="24">
        <v>46094</v>
      </c>
      <c r="E232" s="25">
        <v>1</v>
      </c>
      <c r="F232" s="24">
        <v>46094</v>
      </c>
      <c r="G232" s="23" t="s">
        <v>93</v>
      </c>
      <c r="H232" s="26">
        <v>28</v>
      </c>
      <c r="I232" s="24">
        <f t="shared" si="9"/>
        <v>46122</v>
      </c>
      <c r="J232" s="26">
        <f t="shared" ca="1" si="10"/>
        <v>-182</v>
      </c>
      <c r="K232" s="26" t="str">
        <f t="shared" ca="1" si="11"/>
        <v/>
      </c>
      <c r="L232" s="27" t="s">
        <v>1567</v>
      </c>
      <c r="M232" s="26" t="str">
        <f ca="1">IF(L232&lt;&gt;"","Entregado",IF(NOT(ISNUMBER(IF(Q232&lt;&gt;"",Q232,I232))),"REVISAR TE",IF(AND(ISNUMBER(Resumen!$B$3),IF(Q232&lt;&gt;"",Q232,I232)&lt;Resumen!$B$3),"REVISAR",IF(IF(Q232&lt;&gt;"",Q232,I232)&lt;TODAY(),"ATRASADO",IF(IF(Q232&lt;&gt;"",Q232,I232)-TODAY()&lt;=2,"POR VENCER","EN TIEMPO")))))</f>
        <v>Entregado</v>
      </c>
      <c r="N232" s="23" t="s">
        <v>245</v>
      </c>
      <c r="P232" s="23" t="s">
        <v>473</v>
      </c>
      <c r="Q232" s="28"/>
    </row>
    <row r="233" spans="1:17" ht="16.5" hidden="1" x14ac:dyDescent="0.3">
      <c r="A233" s="23" t="s">
        <v>471</v>
      </c>
      <c r="B233" s="23" t="s">
        <v>54</v>
      </c>
      <c r="C233" s="23" t="s">
        <v>476</v>
      </c>
      <c r="D233" s="24">
        <v>46094</v>
      </c>
      <c r="E233" s="25">
        <v>1</v>
      </c>
      <c r="F233" s="24">
        <v>46094</v>
      </c>
      <c r="G233" s="23" t="s">
        <v>93</v>
      </c>
      <c r="H233" s="26">
        <v>28</v>
      </c>
      <c r="I233" s="24">
        <f t="shared" si="9"/>
        <v>46122</v>
      </c>
      <c r="J233" s="26">
        <f t="shared" ca="1" si="10"/>
        <v>-182</v>
      </c>
      <c r="K233" s="26" t="str">
        <f t="shared" ca="1" si="11"/>
        <v/>
      </c>
      <c r="L233" s="27" t="s">
        <v>1567</v>
      </c>
      <c r="M233" s="26" t="str">
        <f ca="1">IF(L233&lt;&gt;"","Entregado",IF(NOT(ISNUMBER(IF(Q233&lt;&gt;"",Q233,I233))),"REVISAR TE",IF(AND(ISNUMBER(Resumen!$B$3),IF(Q233&lt;&gt;"",Q233,I233)&lt;Resumen!$B$3),"REVISAR",IF(IF(Q233&lt;&gt;"",Q233,I233)&lt;TODAY(),"ATRASADO",IF(IF(Q233&lt;&gt;"",Q233,I233)-TODAY()&lt;=2,"POR VENCER","EN TIEMPO")))))</f>
        <v>Entregado</v>
      </c>
      <c r="N233" s="23" t="s">
        <v>475</v>
      </c>
      <c r="P233" s="23" t="s">
        <v>473</v>
      </c>
      <c r="Q233" s="28"/>
    </row>
    <row r="234" spans="1:17" ht="16.5" hidden="1" x14ac:dyDescent="0.3">
      <c r="A234" s="23" t="s">
        <v>477</v>
      </c>
      <c r="B234" s="23" t="s">
        <v>66</v>
      </c>
      <c r="C234" s="23" t="s">
        <v>478</v>
      </c>
      <c r="D234" s="24">
        <v>46094</v>
      </c>
      <c r="E234" s="25">
        <v>25</v>
      </c>
      <c r="F234" s="24">
        <v>46094</v>
      </c>
      <c r="G234" s="23" t="s">
        <v>156</v>
      </c>
      <c r="H234" s="26">
        <v>21</v>
      </c>
      <c r="I234" s="24">
        <f t="shared" si="9"/>
        <v>46115</v>
      </c>
      <c r="J234" s="26">
        <f t="shared" ca="1" si="10"/>
        <v>-189</v>
      </c>
      <c r="K234" s="26" t="str">
        <f t="shared" ca="1" si="11"/>
        <v/>
      </c>
      <c r="L234" s="27" t="s">
        <v>1567</v>
      </c>
      <c r="M234" s="26" t="str">
        <f ca="1">IF(L234&lt;&gt;"","Entregado",IF(NOT(ISNUMBER(IF(Q234&lt;&gt;"",Q234,I234))),"REVISAR TE",IF(AND(ISNUMBER(Resumen!$B$3),IF(Q234&lt;&gt;"",Q234,I234)&lt;Resumen!$B$3),"REVISAR",IF(IF(Q234&lt;&gt;"",Q234,I234)&lt;TODAY(),"ATRASADO",IF(IF(Q234&lt;&gt;"",Q234,I234)-TODAY()&lt;=2,"POR VENCER","EN TIEMPO")))))</f>
        <v>Entregado</v>
      </c>
      <c r="N234" s="23" t="s">
        <v>98</v>
      </c>
      <c r="P234" s="23" t="s">
        <v>479</v>
      </c>
      <c r="Q234" s="28"/>
    </row>
    <row r="235" spans="1:17" ht="16.5" hidden="1" x14ac:dyDescent="0.3">
      <c r="A235" s="23" t="s">
        <v>477</v>
      </c>
      <c r="B235" s="23" t="s">
        <v>66</v>
      </c>
      <c r="C235" s="23" t="s">
        <v>480</v>
      </c>
      <c r="D235" s="24">
        <v>46094</v>
      </c>
      <c r="E235" s="25">
        <v>2</v>
      </c>
      <c r="F235" s="24">
        <v>46094</v>
      </c>
      <c r="G235" s="23" t="s">
        <v>156</v>
      </c>
      <c r="H235" s="26">
        <v>21</v>
      </c>
      <c r="I235" s="24">
        <f t="shared" si="9"/>
        <v>46115</v>
      </c>
      <c r="J235" s="26">
        <f t="shared" ca="1" si="10"/>
        <v>-189</v>
      </c>
      <c r="K235" s="26" t="str">
        <f t="shared" ca="1" si="11"/>
        <v/>
      </c>
      <c r="L235" s="27" t="s">
        <v>1567</v>
      </c>
      <c r="M235" s="26" t="str">
        <f ca="1">IF(L235&lt;&gt;"","Entregado",IF(NOT(ISNUMBER(IF(Q235&lt;&gt;"",Q235,I235))),"REVISAR TE",IF(AND(ISNUMBER(Resumen!$B$3),IF(Q235&lt;&gt;"",Q235,I235)&lt;Resumen!$B$3),"REVISAR",IF(IF(Q235&lt;&gt;"",Q235,I235)&lt;TODAY(),"ATRASADO",IF(IF(Q235&lt;&gt;"",Q235,I235)-TODAY()&lt;=2,"POR VENCER","EN TIEMPO")))))</f>
        <v>Entregado</v>
      </c>
      <c r="N235" s="23" t="s">
        <v>431</v>
      </c>
      <c r="P235" s="23" t="s">
        <v>479</v>
      </c>
      <c r="Q235" s="28"/>
    </row>
    <row r="236" spans="1:17" ht="16.5" hidden="1" x14ac:dyDescent="0.3">
      <c r="A236" s="23" t="s">
        <v>481</v>
      </c>
      <c r="B236" s="23" t="s">
        <v>55</v>
      </c>
      <c r="C236" s="23" t="s">
        <v>482</v>
      </c>
      <c r="D236" s="24">
        <v>46099</v>
      </c>
      <c r="E236" s="25">
        <v>8</v>
      </c>
      <c r="F236" s="24">
        <v>46099</v>
      </c>
      <c r="G236" s="23" t="s">
        <v>171</v>
      </c>
      <c r="H236" s="26">
        <v>7</v>
      </c>
      <c r="I236" s="24">
        <f t="shared" si="9"/>
        <v>46106</v>
      </c>
      <c r="J236" s="26">
        <f t="shared" ca="1" si="10"/>
        <v>-198</v>
      </c>
      <c r="K236" s="26" t="str">
        <f t="shared" ca="1" si="11"/>
        <v/>
      </c>
      <c r="L236" s="27" t="s">
        <v>1567</v>
      </c>
      <c r="M236" s="26" t="str">
        <f ca="1">IF(L236&lt;&gt;"","Entregado",IF(NOT(ISNUMBER(IF(Q236&lt;&gt;"",Q236,I236))),"REVISAR TE",IF(AND(ISNUMBER(Resumen!$B$3),IF(Q236&lt;&gt;"",Q236,I236)&lt;Resumen!$B$3),"REVISAR",IF(IF(Q236&lt;&gt;"",Q236,I236)&lt;TODAY(),"ATRASADO",IF(IF(Q236&lt;&gt;"",Q236,I236)-TODAY()&lt;=2,"POR VENCER","EN TIEMPO")))))</f>
        <v>Entregado</v>
      </c>
      <c r="N236" s="23" t="s">
        <v>388</v>
      </c>
      <c r="P236" s="23" t="s">
        <v>483</v>
      </c>
      <c r="Q236" s="28"/>
    </row>
    <row r="237" spans="1:17" ht="16.5" hidden="1" x14ac:dyDescent="0.3">
      <c r="A237" s="23" t="s">
        <v>481</v>
      </c>
      <c r="B237" s="23" t="s">
        <v>55</v>
      </c>
      <c r="C237" s="23" t="s">
        <v>482</v>
      </c>
      <c r="D237" s="24">
        <v>46095</v>
      </c>
      <c r="E237" s="25">
        <v>4</v>
      </c>
      <c r="F237" s="24">
        <v>46095</v>
      </c>
      <c r="G237" s="23" t="s">
        <v>171</v>
      </c>
      <c r="H237" s="26">
        <v>7</v>
      </c>
      <c r="I237" s="24">
        <f t="shared" si="9"/>
        <v>46102</v>
      </c>
      <c r="J237" s="26">
        <f t="shared" ca="1" si="10"/>
        <v>-202</v>
      </c>
      <c r="K237" s="26" t="str">
        <f t="shared" ca="1" si="11"/>
        <v/>
      </c>
      <c r="L237" s="27" t="s">
        <v>1567</v>
      </c>
      <c r="M237" s="26" t="str">
        <f ca="1">IF(L237&lt;&gt;"","Entregado",IF(NOT(ISNUMBER(IF(Q237&lt;&gt;"",Q237,I237))),"REVISAR TE",IF(AND(ISNUMBER(Resumen!$B$3),IF(Q237&lt;&gt;"",Q237,I237)&lt;Resumen!$B$3),"REVISAR",IF(IF(Q237&lt;&gt;"",Q237,I237)&lt;TODAY(),"ATRASADO",IF(IF(Q237&lt;&gt;"",Q237,I237)-TODAY()&lt;=2,"POR VENCER","EN TIEMPO")))))</f>
        <v>Entregado</v>
      </c>
      <c r="N237" s="23" t="s">
        <v>388</v>
      </c>
      <c r="P237" s="23" t="s">
        <v>484</v>
      </c>
      <c r="Q237" s="28"/>
    </row>
    <row r="238" spans="1:17" ht="16.5" hidden="1" x14ac:dyDescent="0.3">
      <c r="A238" s="23" t="s">
        <v>485</v>
      </c>
      <c r="B238" s="23" t="s">
        <v>56</v>
      </c>
      <c r="C238" s="23" t="s">
        <v>486</v>
      </c>
      <c r="D238" s="24">
        <v>46099</v>
      </c>
      <c r="E238" s="25">
        <v>1</v>
      </c>
      <c r="F238" s="24">
        <v>46099</v>
      </c>
      <c r="G238" s="23" t="s">
        <v>171</v>
      </c>
      <c r="H238" s="26">
        <v>7</v>
      </c>
      <c r="I238" s="24">
        <f t="shared" si="9"/>
        <v>46106</v>
      </c>
      <c r="J238" s="26">
        <f t="shared" ca="1" si="10"/>
        <v>-198</v>
      </c>
      <c r="K238" s="26" t="str">
        <f t="shared" ca="1" si="11"/>
        <v/>
      </c>
      <c r="L238" s="27" t="s">
        <v>1567</v>
      </c>
      <c r="M238" s="26" t="str">
        <f ca="1">IF(L238&lt;&gt;"","Entregado",IF(NOT(ISNUMBER(IF(Q238&lt;&gt;"",Q238,I238))),"REVISAR TE",IF(AND(ISNUMBER(Resumen!$B$3),IF(Q238&lt;&gt;"",Q238,I238)&lt;Resumen!$B$3),"REVISAR",IF(IF(Q238&lt;&gt;"",Q238,I238)&lt;TODAY(),"ATRASADO",IF(IF(Q238&lt;&gt;"",Q238,I238)-TODAY()&lt;=2,"POR VENCER","EN TIEMPO")))))</f>
        <v>Entregado</v>
      </c>
      <c r="N238" s="23" t="s">
        <v>431</v>
      </c>
      <c r="P238" s="23" t="s">
        <v>487</v>
      </c>
      <c r="Q238" s="28"/>
    </row>
    <row r="239" spans="1:17" ht="16.5" hidden="1" x14ac:dyDescent="0.3">
      <c r="A239" s="23" t="s">
        <v>488</v>
      </c>
      <c r="B239" s="23" t="s">
        <v>56</v>
      </c>
      <c r="C239" s="23" t="s">
        <v>489</v>
      </c>
      <c r="D239" s="24">
        <v>46100</v>
      </c>
      <c r="E239" s="25">
        <v>1</v>
      </c>
      <c r="F239" s="24">
        <v>46100</v>
      </c>
      <c r="G239" s="23" t="s">
        <v>93</v>
      </c>
      <c r="H239" s="26">
        <v>28</v>
      </c>
      <c r="I239" s="24">
        <f t="shared" si="9"/>
        <v>46128</v>
      </c>
      <c r="J239" s="26">
        <f t="shared" ca="1" si="10"/>
        <v>-176</v>
      </c>
      <c r="K239" s="26" t="str">
        <f t="shared" ca="1" si="11"/>
        <v/>
      </c>
      <c r="L239" s="27" t="s">
        <v>1567</v>
      </c>
      <c r="M239" s="26" t="str">
        <f ca="1">IF(L239&lt;&gt;"","Entregado",IF(NOT(ISNUMBER(IF(Q239&lt;&gt;"",Q239,I239))),"REVISAR TE",IF(AND(ISNUMBER(Resumen!$B$3),IF(Q239&lt;&gt;"",Q239,I239)&lt;Resumen!$B$3),"REVISAR",IF(IF(Q239&lt;&gt;"",Q239,I239)&lt;TODAY(),"ATRASADO",IF(IF(Q239&lt;&gt;"",Q239,I239)-TODAY()&lt;=2,"POR VENCER","EN TIEMPO")))))</f>
        <v>Entregado</v>
      </c>
      <c r="N239" s="23" t="s">
        <v>216</v>
      </c>
      <c r="P239" s="23" t="s">
        <v>490</v>
      </c>
      <c r="Q239" s="28"/>
    </row>
    <row r="240" spans="1:17" ht="16.5" hidden="1" x14ac:dyDescent="0.3">
      <c r="A240" s="23" t="s">
        <v>491</v>
      </c>
      <c r="B240" s="23" t="s">
        <v>54</v>
      </c>
      <c r="C240" s="23" t="s">
        <v>492</v>
      </c>
      <c r="D240" s="24">
        <v>46105</v>
      </c>
      <c r="E240" s="25">
        <v>6</v>
      </c>
      <c r="F240" s="24">
        <v>46105</v>
      </c>
      <c r="G240" s="23" t="s">
        <v>137</v>
      </c>
      <c r="H240" s="26">
        <v>28</v>
      </c>
      <c r="I240" s="24">
        <f t="shared" si="9"/>
        <v>46133</v>
      </c>
      <c r="J240" s="26">
        <f t="shared" ca="1" si="10"/>
        <v>-171</v>
      </c>
      <c r="K240" s="26" t="str">
        <f t="shared" ca="1" si="11"/>
        <v/>
      </c>
      <c r="L240" s="27" t="s">
        <v>1567</v>
      </c>
      <c r="M240" s="26" t="str">
        <f ca="1">IF(L240&lt;&gt;"","Entregado",IF(NOT(ISNUMBER(IF(Q240&lt;&gt;"",Q240,I240))),"REVISAR TE",IF(AND(ISNUMBER(Resumen!$B$3),IF(Q240&lt;&gt;"",Q240,I240)&lt;Resumen!$B$3),"REVISAR",IF(IF(Q240&lt;&gt;"",Q240,I240)&lt;TODAY(),"ATRASADO",IF(IF(Q240&lt;&gt;"",Q240,I240)-TODAY()&lt;=2,"POR VENCER","EN TIEMPO")))))</f>
        <v>Entregado</v>
      </c>
      <c r="N240" s="23" t="s">
        <v>98</v>
      </c>
      <c r="P240" s="23" t="s">
        <v>493</v>
      </c>
      <c r="Q240" s="28"/>
    </row>
    <row r="241" spans="1:17" ht="16.5" hidden="1" x14ac:dyDescent="0.3">
      <c r="A241" s="23" t="s">
        <v>494</v>
      </c>
      <c r="B241" s="23" t="s">
        <v>57</v>
      </c>
      <c r="C241" s="23" t="s">
        <v>495</v>
      </c>
      <c r="D241" s="24">
        <v>46105</v>
      </c>
      <c r="E241" s="25">
        <v>1</v>
      </c>
      <c r="F241" s="24">
        <v>46105</v>
      </c>
      <c r="G241" s="23" t="s">
        <v>137</v>
      </c>
      <c r="H241" s="26">
        <v>28</v>
      </c>
      <c r="I241" s="24">
        <f t="shared" si="9"/>
        <v>46133</v>
      </c>
      <c r="J241" s="26">
        <f t="shared" ca="1" si="10"/>
        <v>-171</v>
      </c>
      <c r="K241" s="26" t="str">
        <f t="shared" ca="1" si="11"/>
        <v/>
      </c>
      <c r="L241" s="27" t="s">
        <v>1567</v>
      </c>
      <c r="M241" s="26" t="str">
        <f ca="1">IF(L241&lt;&gt;"","Entregado",IF(NOT(ISNUMBER(IF(Q241&lt;&gt;"",Q241,I241))),"REVISAR TE",IF(AND(ISNUMBER(Resumen!$B$3),IF(Q241&lt;&gt;"",Q241,I241)&lt;Resumen!$B$3),"REVISAR",IF(IF(Q241&lt;&gt;"",Q241,I241)&lt;TODAY(),"ATRASADO",IF(IF(Q241&lt;&gt;"",Q241,I241)-TODAY()&lt;=2,"POR VENCER","EN TIEMPO")))))</f>
        <v>Entregado</v>
      </c>
      <c r="N241" s="23" t="s">
        <v>84</v>
      </c>
      <c r="P241" s="23" t="s">
        <v>496</v>
      </c>
      <c r="Q241" s="28"/>
    </row>
    <row r="242" spans="1:17" ht="16.5" hidden="1" x14ac:dyDescent="0.3">
      <c r="A242" s="23" t="s">
        <v>497</v>
      </c>
      <c r="B242" s="23" t="s">
        <v>56</v>
      </c>
      <c r="C242" s="23" t="s">
        <v>498</v>
      </c>
      <c r="D242" s="24">
        <v>46108</v>
      </c>
      <c r="E242" s="25">
        <v>1</v>
      </c>
      <c r="F242" s="24">
        <v>46108</v>
      </c>
      <c r="G242" s="23" t="s">
        <v>103</v>
      </c>
      <c r="H242" s="26">
        <v>35</v>
      </c>
      <c r="I242" s="24">
        <f t="shared" si="9"/>
        <v>46143</v>
      </c>
      <c r="J242" s="26">
        <f t="shared" ca="1" si="10"/>
        <v>-161</v>
      </c>
      <c r="K242" s="26" t="str">
        <f t="shared" ca="1" si="11"/>
        <v/>
      </c>
      <c r="L242" s="27" t="s">
        <v>1567</v>
      </c>
      <c r="M242" s="26" t="str">
        <f ca="1">IF(L242&lt;&gt;"","Entregado",IF(NOT(ISNUMBER(IF(Q242&lt;&gt;"",Q242,I242))),"REVISAR TE",IF(AND(ISNUMBER(Resumen!$B$3),IF(Q242&lt;&gt;"",Q242,I242)&lt;Resumen!$B$3),"REVISAR",IF(IF(Q242&lt;&gt;"",Q242,I242)&lt;TODAY(),"ATRASADO",IF(IF(Q242&lt;&gt;"",Q242,I242)-TODAY()&lt;=2,"POR VENCER","EN TIEMPO")))))</f>
        <v>Entregado</v>
      </c>
      <c r="N242" s="23" t="s">
        <v>84</v>
      </c>
      <c r="P242" s="23" t="s">
        <v>499</v>
      </c>
      <c r="Q242" s="28"/>
    </row>
    <row r="243" spans="1:17" ht="16.5" hidden="1" x14ac:dyDescent="0.3">
      <c r="A243" s="23" t="s">
        <v>500</v>
      </c>
      <c r="B243" s="23" t="s">
        <v>52</v>
      </c>
      <c r="C243" s="23" t="s">
        <v>502</v>
      </c>
      <c r="D243" s="24">
        <v>46111</v>
      </c>
      <c r="E243" s="25">
        <v>1</v>
      </c>
      <c r="F243" s="24">
        <v>46111</v>
      </c>
      <c r="G243" s="23" t="s">
        <v>501</v>
      </c>
      <c r="H243" s="26">
        <v>4</v>
      </c>
      <c r="I243" s="24">
        <f t="shared" si="9"/>
        <v>46115</v>
      </c>
      <c r="J243" s="26">
        <f t="shared" ca="1" si="10"/>
        <v>-189</v>
      </c>
      <c r="K243" s="26" t="str">
        <f t="shared" ca="1" si="11"/>
        <v/>
      </c>
      <c r="L243" s="27" t="s">
        <v>1567</v>
      </c>
      <c r="M243" s="26" t="str">
        <f ca="1">IF(L243&lt;&gt;"","Entregado",IF(NOT(ISNUMBER(IF(Q243&lt;&gt;"",Q243,I243))),"REVISAR TE",IF(AND(ISNUMBER(Resumen!$B$3),IF(Q243&lt;&gt;"",Q243,I243)&lt;Resumen!$B$3),"REVISAR",IF(IF(Q243&lt;&gt;"",Q243,I243)&lt;TODAY(),"ATRASADO",IF(IF(Q243&lt;&gt;"",Q243,I243)-TODAY()&lt;=2,"POR VENCER","EN TIEMPO")))))</f>
        <v>Entregado</v>
      </c>
      <c r="N243" s="23" t="s">
        <v>460</v>
      </c>
      <c r="P243" s="23" t="s">
        <v>503</v>
      </c>
      <c r="Q243" s="28"/>
    </row>
    <row r="244" spans="1:17" ht="16.5" hidden="1" x14ac:dyDescent="0.3">
      <c r="A244" s="23" t="s">
        <v>504</v>
      </c>
      <c r="B244" s="23" t="s">
        <v>52</v>
      </c>
      <c r="C244" s="23" t="s">
        <v>505</v>
      </c>
      <c r="D244" s="24">
        <v>46111</v>
      </c>
      <c r="E244" s="25">
        <v>1</v>
      </c>
      <c r="F244" s="24">
        <v>46111</v>
      </c>
      <c r="G244" s="23" t="s">
        <v>196</v>
      </c>
      <c r="H244" s="26">
        <v>10</v>
      </c>
      <c r="I244" s="24">
        <f t="shared" si="9"/>
        <v>46121</v>
      </c>
      <c r="J244" s="26">
        <f t="shared" ca="1" si="10"/>
        <v>-183</v>
      </c>
      <c r="K244" s="26" t="str">
        <f t="shared" ca="1" si="11"/>
        <v/>
      </c>
      <c r="L244" s="27" t="s">
        <v>1567</v>
      </c>
      <c r="M244" s="26" t="str">
        <f ca="1">IF(L244&lt;&gt;"","Entregado",IF(NOT(ISNUMBER(IF(Q244&lt;&gt;"",Q244,I244))),"REVISAR TE",IF(AND(ISNUMBER(Resumen!$B$3),IF(Q244&lt;&gt;"",Q244,I244)&lt;Resumen!$B$3),"REVISAR",IF(IF(Q244&lt;&gt;"",Q244,I244)&lt;TODAY(),"ATRASADO",IF(IF(Q244&lt;&gt;"",Q244,I244)-TODAY()&lt;=2,"POR VENCER","EN TIEMPO")))))</f>
        <v>Entregado</v>
      </c>
      <c r="N244" s="23" t="s">
        <v>165</v>
      </c>
      <c r="P244" s="23" t="s">
        <v>506</v>
      </c>
      <c r="Q244" s="28"/>
    </row>
    <row r="245" spans="1:17" ht="16.5" hidden="1" x14ac:dyDescent="0.3">
      <c r="A245" s="23" t="s">
        <v>507</v>
      </c>
      <c r="B245" s="23" t="s">
        <v>52</v>
      </c>
      <c r="C245" s="23" t="s">
        <v>509</v>
      </c>
      <c r="D245" s="24">
        <v>46113</v>
      </c>
      <c r="E245" s="25">
        <v>1</v>
      </c>
      <c r="F245" s="24">
        <v>46113</v>
      </c>
      <c r="G245" s="23" t="s">
        <v>196</v>
      </c>
      <c r="H245" s="26">
        <v>10</v>
      </c>
      <c r="I245" s="24">
        <f t="shared" si="9"/>
        <v>46123</v>
      </c>
      <c r="J245" s="26">
        <f t="shared" ca="1" si="10"/>
        <v>-181</v>
      </c>
      <c r="K245" s="26" t="str">
        <f t="shared" ca="1" si="11"/>
        <v/>
      </c>
      <c r="L245" s="27" t="s">
        <v>1567</v>
      </c>
      <c r="M245" s="26" t="str">
        <f ca="1">IF(L245&lt;&gt;"","Entregado",IF(NOT(ISNUMBER(IF(Q245&lt;&gt;"",Q245,I245))),"REVISAR TE",IF(AND(ISNUMBER(Resumen!$B$3),IF(Q245&lt;&gt;"",Q245,I245)&lt;Resumen!$B$3),"REVISAR",IF(IF(Q245&lt;&gt;"",Q245,I245)&lt;TODAY(),"ATRASADO",IF(IF(Q245&lt;&gt;"",Q245,I245)-TODAY()&lt;=2,"POR VENCER","EN TIEMPO")))))</f>
        <v>Entregado</v>
      </c>
      <c r="N245" s="23" t="s">
        <v>508</v>
      </c>
      <c r="P245" s="23" t="s">
        <v>510</v>
      </c>
      <c r="Q245" s="28"/>
    </row>
    <row r="246" spans="1:17" ht="16.5" hidden="1" x14ac:dyDescent="0.3">
      <c r="A246" s="23" t="s">
        <v>507</v>
      </c>
      <c r="B246" s="23" t="s">
        <v>52</v>
      </c>
      <c r="C246" s="23" t="s">
        <v>512</v>
      </c>
      <c r="D246" s="24">
        <v>46113</v>
      </c>
      <c r="E246" s="25">
        <v>1</v>
      </c>
      <c r="F246" s="24">
        <v>46113</v>
      </c>
      <c r="G246" s="23" t="s">
        <v>196</v>
      </c>
      <c r="H246" s="26">
        <v>10</v>
      </c>
      <c r="I246" s="24">
        <f t="shared" si="9"/>
        <v>46123</v>
      </c>
      <c r="J246" s="26">
        <f t="shared" ca="1" si="10"/>
        <v>-181</v>
      </c>
      <c r="K246" s="26" t="str">
        <f t="shared" ca="1" si="11"/>
        <v/>
      </c>
      <c r="L246" s="27" t="s">
        <v>1567</v>
      </c>
      <c r="M246" s="26" t="str">
        <f ca="1">IF(L246&lt;&gt;"","Entregado",IF(NOT(ISNUMBER(IF(Q246&lt;&gt;"",Q246,I246))),"REVISAR TE",IF(AND(ISNUMBER(Resumen!$B$3),IF(Q246&lt;&gt;"",Q246,I246)&lt;Resumen!$B$3),"REVISAR",IF(IF(Q246&lt;&gt;"",Q246,I246)&lt;TODAY(),"ATRASADO",IF(IF(Q246&lt;&gt;"",Q246,I246)-TODAY()&lt;=2,"POR VENCER","EN TIEMPO")))))</f>
        <v>Entregado</v>
      </c>
      <c r="N246" s="23" t="s">
        <v>511</v>
      </c>
      <c r="P246" s="23" t="s">
        <v>510</v>
      </c>
      <c r="Q246" s="28"/>
    </row>
    <row r="247" spans="1:17" ht="16.5" hidden="1" x14ac:dyDescent="0.3">
      <c r="A247" s="23" t="s">
        <v>513</v>
      </c>
      <c r="B247" s="23" t="s">
        <v>52</v>
      </c>
      <c r="C247" s="23" t="s">
        <v>514</v>
      </c>
      <c r="D247" s="24">
        <v>46113</v>
      </c>
      <c r="E247" s="25">
        <v>1</v>
      </c>
      <c r="F247" s="24">
        <v>46113</v>
      </c>
      <c r="G247" s="23" t="s">
        <v>93</v>
      </c>
      <c r="H247" s="26">
        <v>28</v>
      </c>
      <c r="I247" s="24">
        <f t="shared" si="9"/>
        <v>46141</v>
      </c>
      <c r="J247" s="26">
        <f t="shared" ca="1" si="10"/>
        <v>-163</v>
      </c>
      <c r="K247" s="26" t="str">
        <f t="shared" ca="1" si="11"/>
        <v/>
      </c>
      <c r="L247" s="27" t="s">
        <v>1567</v>
      </c>
      <c r="M247" s="26" t="str">
        <f ca="1">IF(L247&lt;&gt;"","Entregado",IF(NOT(ISNUMBER(IF(Q247&lt;&gt;"",Q247,I247))),"REVISAR TE",IF(AND(ISNUMBER(Resumen!$B$3),IF(Q247&lt;&gt;"",Q247,I247)&lt;Resumen!$B$3),"REVISAR",IF(IF(Q247&lt;&gt;"",Q247,I247)&lt;TODAY(),"ATRASADO",IF(IF(Q247&lt;&gt;"",Q247,I247)-TODAY()&lt;=2,"POR VENCER","EN TIEMPO")))))</f>
        <v>Entregado</v>
      </c>
      <c r="N247" s="23" t="s">
        <v>508</v>
      </c>
      <c r="P247" s="23" t="s">
        <v>515</v>
      </c>
      <c r="Q247" s="28"/>
    </row>
    <row r="248" spans="1:17" ht="16.5" hidden="1" x14ac:dyDescent="0.3">
      <c r="A248" s="23" t="s">
        <v>513</v>
      </c>
      <c r="B248" s="23" t="s">
        <v>52</v>
      </c>
      <c r="C248" s="23" t="s">
        <v>516</v>
      </c>
      <c r="D248" s="24">
        <v>46113</v>
      </c>
      <c r="E248" s="25">
        <v>1</v>
      </c>
      <c r="F248" s="24">
        <v>46113</v>
      </c>
      <c r="G248" s="23" t="s">
        <v>93</v>
      </c>
      <c r="H248" s="26">
        <v>28</v>
      </c>
      <c r="I248" s="24">
        <f t="shared" si="9"/>
        <v>46141</v>
      </c>
      <c r="J248" s="26">
        <f t="shared" ca="1" si="10"/>
        <v>-163</v>
      </c>
      <c r="K248" s="26" t="str">
        <f t="shared" ca="1" si="11"/>
        <v/>
      </c>
      <c r="L248" s="27" t="s">
        <v>1567</v>
      </c>
      <c r="M248" s="26" t="str">
        <f ca="1">IF(L248&lt;&gt;"","Entregado",IF(NOT(ISNUMBER(IF(Q248&lt;&gt;"",Q248,I248))),"REVISAR TE",IF(AND(ISNUMBER(Resumen!$B$3),IF(Q248&lt;&gt;"",Q248,I248)&lt;Resumen!$B$3),"REVISAR",IF(IF(Q248&lt;&gt;"",Q248,I248)&lt;TODAY(),"ATRASADO",IF(IF(Q248&lt;&gt;"",Q248,I248)-TODAY()&lt;=2,"POR VENCER","EN TIEMPO")))))</f>
        <v>Entregado</v>
      </c>
      <c r="N248" s="23" t="s">
        <v>508</v>
      </c>
      <c r="P248" s="23" t="s">
        <v>515</v>
      </c>
      <c r="Q248" s="28"/>
    </row>
    <row r="249" spans="1:17" ht="16.5" hidden="1" x14ac:dyDescent="0.3">
      <c r="A249" s="23" t="s">
        <v>517</v>
      </c>
      <c r="B249" s="23" t="s">
        <v>54</v>
      </c>
      <c r="C249" s="23" t="s">
        <v>518</v>
      </c>
      <c r="D249" s="24">
        <v>46119</v>
      </c>
      <c r="E249" s="25">
        <v>1</v>
      </c>
      <c r="F249" s="24">
        <v>46119</v>
      </c>
      <c r="G249" s="23" t="s">
        <v>93</v>
      </c>
      <c r="H249" s="26">
        <v>28</v>
      </c>
      <c r="I249" s="24">
        <f t="shared" si="9"/>
        <v>46147</v>
      </c>
      <c r="J249" s="26">
        <f t="shared" ca="1" si="10"/>
        <v>-157</v>
      </c>
      <c r="K249" s="26" t="str">
        <f t="shared" ca="1" si="11"/>
        <v/>
      </c>
      <c r="L249" s="27" t="s">
        <v>1567</v>
      </c>
      <c r="M249" s="26" t="str">
        <f ca="1">IF(L249&lt;&gt;"","Entregado",IF(NOT(ISNUMBER(IF(Q249&lt;&gt;"",Q249,I249))),"REVISAR TE",IF(AND(ISNUMBER(Resumen!$B$3),IF(Q249&lt;&gt;"",Q249,I249)&lt;Resumen!$B$3),"REVISAR",IF(IF(Q249&lt;&gt;"",Q249,I249)&lt;TODAY(),"ATRASADO",IF(IF(Q249&lt;&gt;"",Q249,I249)-TODAY()&lt;=2,"POR VENCER","EN TIEMPO")))))</f>
        <v>Entregado</v>
      </c>
      <c r="N249" s="23" t="s">
        <v>84</v>
      </c>
      <c r="P249" s="23" t="s">
        <v>519</v>
      </c>
      <c r="Q249" s="28"/>
    </row>
    <row r="250" spans="1:17" ht="16.5" hidden="1" x14ac:dyDescent="0.3">
      <c r="A250" s="23" t="s">
        <v>520</v>
      </c>
      <c r="B250" s="23" t="s">
        <v>55</v>
      </c>
      <c r="C250" s="23" t="s">
        <v>521</v>
      </c>
      <c r="D250" s="24">
        <v>46119</v>
      </c>
      <c r="E250" s="25">
        <v>4</v>
      </c>
      <c r="F250" s="24">
        <v>46119</v>
      </c>
      <c r="G250" s="23" t="s">
        <v>93</v>
      </c>
      <c r="H250" s="26">
        <v>28</v>
      </c>
      <c r="I250" s="24">
        <f t="shared" si="9"/>
        <v>46147</v>
      </c>
      <c r="J250" s="26">
        <f t="shared" ca="1" si="10"/>
        <v>-157</v>
      </c>
      <c r="K250" s="26" t="str">
        <f t="shared" ca="1" si="11"/>
        <v/>
      </c>
      <c r="L250" s="27" t="s">
        <v>1567</v>
      </c>
      <c r="M250" s="26" t="str">
        <f ca="1">IF(L250&lt;&gt;"","Entregado",IF(NOT(ISNUMBER(IF(Q250&lt;&gt;"",Q250,I250))),"REVISAR TE",IF(AND(ISNUMBER(Resumen!$B$3),IF(Q250&lt;&gt;"",Q250,I250)&lt;Resumen!$B$3),"REVISAR",IF(IF(Q250&lt;&gt;"",Q250,I250)&lt;TODAY(),"ATRASADO",IF(IF(Q250&lt;&gt;"",Q250,I250)-TODAY()&lt;=2,"POR VENCER","EN TIEMPO")))))</f>
        <v>Entregado</v>
      </c>
      <c r="N250" s="23" t="s">
        <v>98</v>
      </c>
      <c r="P250" s="23" t="s">
        <v>522</v>
      </c>
      <c r="Q250" s="28"/>
    </row>
    <row r="251" spans="1:17" ht="16.5" hidden="1" x14ac:dyDescent="0.3">
      <c r="A251" s="23" t="s">
        <v>520</v>
      </c>
      <c r="B251" s="23" t="s">
        <v>55</v>
      </c>
      <c r="C251" s="23" t="s">
        <v>523</v>
      </c>
      <c r="D251" s="24">
        <v>46119</v>
      </c>
      <c r="E251" s="25">
        <v>1</v>
      </c>
      <c r="F251" s="24">
        <v>46119</v>
      </c>
      <c r="G251" s="23" t="s">
        <v>93</v>
      </c>
      <c r="H251" s="26">
        <v>28</v>
      </c>
      <c r="I251" s="24">
        <f t="shared" si="9"/>
        <v>46147</v>
      </c>
      <c r="J251" s="26">
        <f t="shared" ca="1" si="10"/>
        <v>-157</v>
      </c>
      <c r="K251" s="26" t="str">
        <f t="shared" ca="1" si="11"/>
        <v/>
      </c>
      <c r="L251" s="27" t="s">
        <v>1567</v>
      </c>
      <c r="M251" s="26" t="str">
        <f ca="1">IF(L251&lt;&gt;"","Entregado",IF(NOT(ISNUMBER(IF(Q251&lt;&gt;"",Q251,I251))),"REVISAR TE",IF(AND(ISNUMBER(Resumen!$B$3),IF(Q251&lt;&gt;"",Q251,I251)&lt;Resumen!$B$3),"REVISAR",IF(IF(Q251&lt;&gt;"",Q251,I251)&lt;TODAY(),"ATRASADO",IF(IF(Q251&lt;&gt;"",Q251,I251)-TODAY()&lt;=2,"POR VENCER","EN TIEMPO")))))</f>
        <v>Entregado</v>
      </c>
      <c r="N251" s="23" t="s">
        <v>245</v>
      </c>
      <c r="P251" s="23" t="s">
        <v>522</v>
      </c>
      <c r="Q251" s="28"/>
    </row>
    <row r="252" spans="1:17" ht="16.5" hidden="1" x14ac:dyDescent="0.3">
      <c r="A252" s="23" t="s">
        <v>520</v>
      </c>
      <c r="B252" s="23" t="s">
        <v>55</v>
      </c>
      <c r="C252" s="23" t="s">
        <v>524</v>
      </c>
      <c r="D252" s="24">
        <v>46119</v>
      </c>
      <c r="E252" s="25">
        <v>1</v>
      </c>
      <c r="F252" s="24">
        <v>46119</v>
      </c>
      <c r="G252" s="23" t="s">
        <v>93</v>
      </c>
      <c r="H252" s="26">
        <v>28</v>
      </c>
      <c r="I252" s="24">
        <f t="shared" si="9"/>
        <v>46147</v>
      </c>
      <c r="J252" s="26">
        <f t="shared" ca="1" si="10"/>
        <v>-157</v>
      </c>
      <c r="K252" s="26" t="str">
        <f t="shared" ca="1" si="11"/>
        <v/>
      </c>
      <c r="L252" s="27" t="s">
        <v>1567</v>
      </c>
      <c r="M252" s="26" t="str">
        <f ca="1">IF(L252&lt;&gt;"","Entregado",IF(NOT(ISNUMBER(IF(Q252&lt;&gt;"",Q252,I252))),"REVISAR TE",IF(AND(ISNUMBER(Resumen!$B$3),IF(Q252&lt;&gt;"",Q252,I252)&lt;Resumen!$B$3),"REVISAR",IF(IF(Q252&lt;&gt;"",Q252,I252)&lt;TODAY(),"ATRASADO",IF(IF(Q252&lt;&gt;"",Q252,I252)-TODAY()&lt;=2,"POR VENCER","EN TIEMPO")))))</f>
        <v>Entregado</v>
      </c>
      <c r="N252" s="23" t="s">
        <v>245</v>
      </c>
      <c r="P252" s="23" t="s">
        <v>522</v>
      </c>
      <c r="Q252" s="28"/>
    </row>
    <row r="253" spans="1:17" ht="16.5" hidden="1" x14ac:dyDescent="0.3">
      <c r="A253" s="23" t="s">
        <v>525</v>
      </c>
      <c r="B253" s="23" t="s">
        <v>56</v>
      </c>
      <c r="C253" s="23" t="s">
        <v>526</v>
      </c>
      <c r="D253" s="24">
        <v>46120</v>
      </c>
      <c r="E253" s="25">
        <v>1</v>
      </c>
      <c r="F253" s="24">
        <v>46120</v>
      </c>
      <c r="G253" s="23" t="s">
        <v>204</v>
      </c>
      <c r="H253" s="26">
        <v>42</v>
      </c>
      <c r="I253" s="24">
        <f t="shared" si="9"/>
        <v>46162</v>
      </c>
      <c r="J253" s="26">
        <f t="shared" ca="1" si="10"/>
        <v>-142</v>
      </c>
      <c r="K253" s="26" t="str">
        <f t="shared" ca="1" si="11"/>
        <v/>
      </c>
      <c r="L253" s="27" t="s">
        <v>1567</v>
      </c>
      <c r="M253" s="26" t="str">
        <f ca="1">IF(L253&lt;&gt;"","Entregado",IF(NOT(ISNUMBER(IF(Q253&lt;&gt;"",Q253,I253))),"REVISAR TE",IF(AND(ISNUMBER(Resumen!$B$3),IF(Q253&lt;&gt;"",Q253,I253)&lt;Resumen!$B$3),"REVISAR",IF(IF(Q253&lt;&gt;"",Q253,I253)&lt;TODAY(),"ATRASADO",IF(IF(Q253&lt;&gt;"",Q253,I253)-TODAY()&lt;=2,"POR VENCER","EN TIEMPO")))))</f>
        <v>Entregado</v>
      </c>
      <c r="N253" s="23" t="s">
        <v>84</v>
      </c>
      <c r="P253" s="23" t="s">
        <v>527</v>
      </c>
      <c r="Q253" s="28"/>
    </row>
    <row r="254" spans="1:17" ht="16.5" hidden="1" x14ac:dyDescent="0.3">
      <c r="A254" s="23" t="s">
        <v>525</v>
      </c>
      <c r="B254" s="23" t="s">
        <v>56</v>
      </c>
      <c r="C254" s="23" t="s">
        <v>528</v>
      </c>
      <c r="D254" s="24">
        <v>46120</v>
      </c>
      <c r="E254" s="25">
        <v>1</v>
      </c>
      <c r="F254" s="24">
        <v>46120</v>
      </c>
      <c r="G254" s="23" t="s">
        <v>204</v>
      </c>
      <c r="H254" s="26">
        <v>42</v>
      </c>
      <c r="I254" s="24">
        <f t="shared" si="9"/>
        <v>46162</v>
      </c>
      <c r="J254" s="26">
        <f t="shared" ca="1" si="10"/>
        <v>-142</v>
      </c>
      <c r="K254" s="26" t="str">
        <f t="shared" ca="1" si="11"/>
        <v/>
      </c>
      <c r="L254" s="27" t="s">
        <v>1567</v>
      </c>
      <c r="M254" s="26" t="str">
        <f ca="1">IF(L254&lt;&gt;"","Entregado",IF(NOT(ISNUMBER(IF(Q254&lt;&gt;"",Q254,I254))),"REVISAR TE",IF(AND(ISNUMBER(Resumen!$B$3),IF(Q254&lt;&gt;"",Q254,I254)&lt;Resumen!$B$3),"REVISAR",IF(IF(Q254&lt;&gt;"",Q254,I254)&lt;TODAY(),"ATRASADO",IF(IF(Q254&lt;&gt;"",Q254,I254)-TODAY()&lt;=2,"POR VENCER","EN TIEMPO")))))</f>
        <v>Entregado</v>
      </c>
      <c r="N254" s="23" t="s">
        <v>84</v>
      </c>
      <c r="P254" s="23" t="s">
        <v>527</v>
      </c>
      <c r="Q254" s="28"/>
    </row>
    <row r="255" spans="1:17" ht="16.5" hidden="1" x14ac:dyDescent="0.3">
      <c r="A255" s="23" t="s">
        <v>525</v>
      </c>
      <c r="B255" s="23" t="s">
        <v>56</v>
      </c>
      <c r="C255" s="23" t="s">
        <v>529</v>
      </c>
      <c r="D255" s="24">
        <v>46120</v>
      </c>
      <c r="E255" s="25">
        <v>1</v>
      </c>
      <c r="F255" s="24">
        <v>46120</v>
      </c>
      <c r="G255" s="23" t="s">
        <v>204</v>
      </c>
      <c r="H255" s="26">
        <v>42</v>
      </c>
      <c r="I255" s="24">
        <f t="shared" si="9"/>
        <v>46162</v>
      </c>
      <c r="J255" s="26">
        <f t="shared" ca="1" si="10"/>
        <v>-142</v>
      </c>
      <c r="K255" s="26" t="str">
        <f t="shared" ca="1" si="11"/>
        <v/>
      </c>
      <c r="L255" s="27" t="s">
        <v>1567</v>
      </c>
      <c r="M255" s="26" t="str">
        <f ca="1">IF(L255&lt;&gt;"","Entregado",IF(NOT(ISNUMBER(IF(Q255&lt;&gt;"",Q255,I255))),"REVISAR TE",IF(AND(ISNUMBER(Resumen!$B$3),IF(Q255&lt;&gt;"",Q255,I255)&lt;Resumen!$B$3),"REVISAR",IF(IF(Q255&lt;&gt;"",Q255,I255)&lt;TODAY(),"ATRASADO",IF(IF(Q255&lt;&gt;"",Q255,I255)-TODAY()&lt;=2,"POR VENCER","EN TIEMPO")))))</f>
        <v>Entregado</v>
      </c>
      <c r="N255" s="23" t="s">
        <v>84</v>
      </c>
      <c r="P255" s="23" t="s">
        <v>527</v>
      </c>
      <c r="Q255" s="28"/>
    </row>
    <row r="256" spans="1:17" ht="16.5" hidden="1" x14ac:dyDescent="0.3">
      <c r="A256" s="23" t="s">
        <v>525</v>
      </c>
      <c r="B256" s="23" t="s">
        <v>56</v>
      </c>
      <c r="C256" s="23" t="s">
        <v>530</v>
      </c>
      <c r="D256" s="24">
        <v>46120</v>
      </c>
      <c r="E256" s="25">
        <v>1</v>
      </c>
      <c r="F256" s="24">
        <v>46120</v>
      </c>
      <c r="G256" s="23" t="s">
        <v>204</v>
      </c>
      <c r="H256" s="26">
        <v>42</v>
      </c>
      <c r="I256" s="24">
        <f t="shared" si="9"/>
        <v>46162</v>
      </c>
      <c r="J256" s="26">
        <f t="shared" ca="1" si="10"/>
        <v>-142</v>
      </c>
      <c r="K256" s="26" t="str">
        <f t="shared" ca="1" si="11"/>
        <v/>
      </c>
      <c r="L256" s="27" t="s">
        <v>1567</v>
      </c>
      <c r="M256" s="26" t="str">
        <f ca="1">IF(L256&lt;&gt;"","Entregado",IF(NOT(ISNUMBER(IF(Q256&lt;&gt;"",Q256,I256))),"REVISAR TE",IF(AND(ISNUMBER(Resumen!$B$3),IF(Q256&lt;&gt;"",Q256,I256)&lt;Resumen!$B$3),"REVISAR",IF(IF(Q256&lt;&gt;"",Q256,I256)&lt;TODAY(),"ATRASADO",IF(IF(Q256&lt;&gt;"",Q256,I256)-TODAY()&lt;=2,"POR VENCER","EN TIEMPO")))))</f>
        <v>Entregado</v>
      </c>
      <c r="N256" s="23" t="s">
        <v>84</v>
      </c>
      <c r="P256" s="23" t="s">
        <v>527</v>
      </c>
      <c r="Q256" s="28"/>
    </row>
    <row r="257" spans="1:17" ht="16.5" hidden="1" x14ac:dyDescent="0.3">
      <c r="A257" s="23" t="s">
        <v>525</v>
      </c>
      <c r="B257" s="23" t="s">
        <v>56</v>
      </c>
      <c r="C257" s="23" t="s">
        <v>531</v>
      </c>
      <c r="D257" s="24">
        <v>46120</v>
      </c>
      <c r="E257" s="25">
        <v>1</v>
      </c>
      <c r="F257" s="24">
        <v>46120</v>
      </c>
      <c r="G257" s="23" t="s">
        <v>204</v>
      </c>
      <c r="H257" s="26">
        <v>42</v>
      </c>
      <c r="I257" s="24">
        <f t="shared" si="9"/>
        <v>46162</v>
      </c>
      <c r="J257" s="26">
        <f t="shared" ca="1" si="10"/>
        <v>-142</v>
      </c>
      <c r="K257" s="26" t="str">
        <f t="shared" ca="1" si="11"/>
        <v/>
      </c>
      <c r="L257" s="27" t="s">
        <v>1567</v>
      </c>
      <c r="M257" s="26" t="str">
        <f ca="1">IF(L257&lt;&gt;"","Entregado",IF(NOT(ISNUMBER(IF(Q257&lt;&gt;"",Q257,I257))),"REVISAR TE",IF(AND(ISNUMBER(Resumen!$B$3),IF(Q257&lt;&gt;"",Q257,I257)&lt;Resumen!$B$3),"REVISAR",IF(IF(Q257&lt;&gt;"",Q257,I257)&lt;TODAY(),"ATRASADO",IF(IF(Q257&lt;&gt;"",Q257,I257)-TODAY()&lt;=2,"POR VENCER","EN TIEMPO")))))</f>
        <v>Entregado</v>
      </c>
      <c r="N257" s="23" t="s">
        <v>84</v>
      </c>
      <c r="P257" s="23" t="s">
        <v>527</v>
      </c>
      <c r="Q257" s="28"/>
    </row>
    <row r="258" spans="1:17" ht="16.5" hidden="1" x14ac:dyDescent="0.3">
      <c r="A258" s="23" t="s">
        <v>532</v>
      </c>
      <c r="B258" s="23" t="s">
        <v>56</v>
      </c>
      <c r="C258" s="23" t="s">
        <v>533</v>
      </c>
      <c r="D258" s="24">
        <v>46120</v>
      </c>
      <c r="E258" s="25">
        <v>1</v>
      </c>
      <c r="F258" s="24">
        <v>46120</v>
      </c>
      <c r="G258" s="23" t="s">
        <v>180</v>
      </c>
      <c r="H258" s="26">
        <v>14</v>
      </c>
      <c r="I258" s="24">
        <f t="shared" ref="I258:I321" si="12">IF(AND(D258&lt;&gt;"",H258&lt;&gt;""),D258+H258,"")</f>
        <v>46134</v>
      </c>
      <c r="J258" s="26">
        <f t="shared" ref="J258:J321" ca="1" si="13">I258-TODAY()</f>
        <v>-170</v>
      </c>
      <c r="K258" s="26" t="str">
        <f t="shared" ref="K258:K321" ca="1" si="14">IF(AND(L258="",ISNUMBER(IF(Q258&lt;&gt;"",Q258,I258))),IF(IF(Q258&lt;&gt;"",Q258,I258)&lt;TODAY(),TODAY()-IF(Q258&lt;&gt;"",Q258,I258),""),"")</f>
        <v/>
      </c>
      <c r="L258" s="27" t="s">
        <v>1567</v>
      </c>
      <c r="M258" s="26" t="str">
        <f ca="1">IF(L258&lt;&gt;"","Entregado",IF(NOT(ISNUMBER(IF(Q258&lt;&gt;"",Q258,I258))),"REVISAR TE",IF(AND(ISNUMBER(Resumen!$B$3),IF(Q258&lt;&gt;"",Q258,I258)&lt;Resumen!$B$3),"REVISAR",IF(IF(Q258&lt;&gt;"",Q258,I258)&lt;TODAY(),"ATRASADO",IF(IF(Q258&lt;&gt;"",Q258,I258)-TODAY()&lt;=2,"POR VENCER","EN TIEMPO")))))</f>
        <v>Entregado</v>
      </c>
      <c r="N258" s="23" t="s">
        <v>431</v>
      </c>
      <c r="P258" s="23" t="s">
        <v>534</v>
      </c>
      <c r="Q258" s="28"/>
    </row>
    <row r="259" spans="1:17" ht="16.5" hidden="1" x14ac:dyDescent="0.3">
      <c r="A259" s="23" t="s">
        <v>532</v>
      </c>
      <c r="B259" s="23" t="s">
        <v>56</v>
      </c>
      <c r="C259" s="23" t="s">
        <v>535</v>
      </c>
      <c r="D259" s="24">
        <v>46120</v>
      </c>
      <c r="E259" s="25">
        <v>4</v>
      </c>
      <c r="F259" s="24">
        <v>46120</v>
      </c>
      <c r="G259" s="23" t="s">
        <v>180</v>
      </c>
      <c r="H259" s="26">
        <v>14</v>
      </c>
      <c r="I259" s="24">
        <f t="shared" si="12"/>
        <v>46134</v>
      </c>
      <c r="J259" s="26">
        <f t="shared" ca="1" si="13"/>
        <v>-170</v>
      </c>
      <c r="K259" s="26" t="str">
        <f t="shared" ca="1" si="14"/>
        <v/>
      </c>
      <c r="L259" s="27" t="s">
        <v>1567</v>
      </c>
      <c r="M259" s="26" t="str">
        <f ca="1">IF(L259&lt;&gt;"","Entregado",IF(NOT(ISNUMBER(IF(Q259&lt;&gt;"",Q259,I259))),"REVISAR TE",IF(AND(ISNUMBER(Resumen!$B$3),IF(Q259&lt;&gt;"",Q259,I259)&lt;Resumen!$B$3),"REVISAR",IF(IF(Q259&lt;&gt;"",Q259,I259)&lt;TODAY(),"ATRASADO",IF(IF(Q259&lt;&gt;"",Q259,I259)-TODAY()&lt;=2,"POR VENCER","EN TIEMPO")))))</f>
        <v>Entregado</v>
      </c>
      <c r="N259" s="23" t="s">
        <v>431</v>
      </c>
      <c r="P259" s="23" t="s">
        <v>534</v>
      </c>
      <c r="Q259" s="28"/>
    </row>
    <row r="260" spans="1:17" ht="16.5" hidden="1" x14ac:dyDescent="0.3">
      <c r="A260" s="23" t="s">
        <v>536</v>
      </c>
      <c r="B260" s="23" t="s">
        <v>62</v>
      </c>
      <c r="C260" s="23" t="s">
        <v>537</v>
      </c>
      <c r="D260" s="24">
        <v>46120</v>
      </c>
      <c r="E260" s="25">
        <v>1</v>
      </c>
      <c r="F260" s="24">
        <v>46120</v>
      </c>
      <c r="G260" s="23"/>
      <c r="H260" s="26"/>
      <c r="I260" s="24" t="str">
        <f t="shared" si="12"/>
        <v/>
      </c>
      <c r="J260" s="26" t="e">
        <f t="shared" ca="1" si="13"/>
        <v>#VALUE!</v>
      </c>
      <c r="K260" s="26" t="str">
        <f t="shared" ca="1" si="14"/>
        <v/>
      </c>
      <c r="L260" s="27" t="s">
        <v>1567</v>
      </c>
      <c r="M260" s="26" t="str">
        <f ca="1">IF(L260&lt;&gt;"","Entregado",IF(NOT(ISNUMBER(IF(Q260&lt;&gt;"",Q260,I260))),"REVISAR TE",IF(AND(ISNUMBER(Resumen!$B$3),IF(Q260&lt;&gt;"",Q260,I260)&lt;Resumen!$B$3),"REVISAR",IF(IF(Q260&lt;&gt;"",Q260,I260)&lt;TODAY(),"ATRASADO",IF(IF(Q260&lt;&gt;"",Q260,I260)-TODAY()&lt;=2,"POR VENCER","EN TIEMPO")))))</f>
        <v>Entregado</v>
      </c>
      <c r="N260" s="23" t="s">
        <v>460</v>
      </c>
      <c r="P260" s="23" t="s">
        <v>538</v>
      </c>
      <c r="Q260" s="28"/>
    </row>
    <row r="261" spans="1:17" ht="16.5" hidden="1" x14ac:dyDescent="0.3">
      <c r="A261" s="23" t="s">
        <v>536</v>
      </c>
      <c r="B261" s="23" t="s">
        <v>62</v>
      </c>
      <c r="C261" s="23" t="s">
        <v>539</v>
      </c>
      <c r="D261" s="24">
        <v>46120</v>
      </c>
      <c r="E261" s="25">
        <v>1</v>
      </c>
      <c r="F261" s="24">
        <v>46120</v>
      </c>
      <c r="G261" s="23"/>
      <c r="H261" s="26"/>
      <c r="I261" s="24" t="str">
        <f t="shared" si="12"/>
        <v/>
      </c>
      <c r="J261" s="26" t="e">
        <f t="shared" ca="1" si="13"/>
        <v>#VALUE!</v>
      </c>
      <c r="K261" s="26" t="str">
        <f t="shared" ca="1" si="14"/>
        <v/>
      </c>
      <c r="L261" s="27" t="s">
        <v>1567</v>
      </c>
      <c r="M261" s="26" t="str">
        <f ca="1">IF(L261&lt;&gt;"","Entregado",IF(NOT(ISNUMBER(IF(Q261&lt;&gt;"",Q261,I261))),"REVISAR TE",IF(AND(ISNUMBER(Resumen!$B$3),IF(Q261&lt;&gt;"",Q261,I261)&lt;Resumen!$B$3),"REVISAR",IF(IF(Q261&lt;&gt;"",Q261,I261)&lt;TODAY(),"ATRASADO",IF(IF(Q261&lt;&gt;"",Q261,I261)-TODAY()&lt;=2,"POR VENCER","EN TIEMPO")))))</f>
        <v>Entregado</v>
      </c>
      <c r="N261" s="23" t="s">
        <v>460</v>
      </c>
      <c r="P261" s="23" t="s">
        <v>538</v>
      </c>
      <c r="Q261" s="28"/>
    </row>
    <row r="262" spans="1:17" ht="16.5" hidden="1" x14ac:dyDescent="0.3">
      <c r="A262" s="23" t="s">
        <v>536</v>
      </c>
      <c r="B262" s="23" t="s">
        <v>62</v>
      </c>
      <c r="C262" s="23" t="s">
        <v>540</v>
      </c>
      <c r="D262" s="24">
        <v>46120</v>
      </c>
      <c r="E262" s="25">
        <v>1</v>
      </c>
      <c r="F262" s="24">
        <v>46120</v>
      </c>
      <c r="G262" s="23"/>
      <c r="H262" s="26"/>
      <c r="I262" s="24" t="str">
        <f t="shared" si="12"/>
        <v/>
      </c>
      <c r="J262" s="26" t="e">
        <f t="shared" ca="1" si="13"/>
        <v>#VALUE!</v>
      </c>
      <c r="K262" s="26" t="str">
        <f t="shared" ca="1" si="14"/>
        <v/>
      </c>
      <c r="L262" s="27" t="s">
        <v>1567</v>
      </c>
      <c r="M262" s="26" t="str">
        <f ca="1">IF(L262&lt;&gt;"","Entregado",IF(NOT(ISNUMBER(IF(Q262&lt;&gt;"",Q262,I262))),"REVISAR TE",IF(AND(ISNUMBER(Resumen!$B$3),IF(Q262&lt;&gt;"",Q262,I262)&lt;Resumen!$B$3),"REVISAR",IF(IF(Q262&lt;&gt;"",Q262,I262)&lt;TODAY(),"ATRASADO",IF(IF(Q262&lt;&gt;"",Q262,I262)-TODAY()&lt;=2,"POR VENCER","EN TIEMPO")))))</f>
        <v>Entregado</v>
      </c>
      <c r="N262" s="23" t="s">
        <v>460</v>
      </c>
      <c r="P262" s="23" t="s">
        <v>538</v>
      </c>
      <c r="Q262" s="28"/>
    </row>
    <row r="263" spans="1:17" ht="16.5" hidden="1" x14ac:dyDescent="0.3">
      <c r="A263" s="23" t="s">
        <v>541</v>
      </c>
      <c r="B263" s="23" t="s">
        <v>59</v>
      </c>
      <c r="C263" s="23" t="s">
        <v>542</v>
      </c>
      <c r="D263" s="24">
        <v>46120</v>
      </c>
      <c r="E263" s="25">
        <v>1</v>
      </c>
      <c r="F263" s="24">
        <v>46120</v>
      </c>
      <c r="G263" s="23" t="s">
        <v>423</v>
      </c>
      <c r="H263" s="26">
        <v>56</v>
      </c>
      <c r="I263" s="24">
        <f t="shared" si="12"/>
        <v>46176</v>
      </c>
      <c r="J263" s="26">
        <f t="shared" ca="1" si="13"/>
        <v>-128</v>
      </c>
      <c r="K263" s="26" t="str">
        <f t="shared" ca="1" si="14"/>
        <v/>
      </c>
      <c r="L263" s="27" t="s">
        <v>1567</v>
      </c>
      <c r="M263" s="26" t="str">
        <f ca="1">IF(L263&lt;&gt;"","Entregado",IF(NOT(ISNUMBER(IF(Q263&lt;&gt;"",Q263,I263))),"REVISAR TE",IF(AND(ISNUMBER(Resumen!$B$3),IF(Q263&lt;&gt;"",Q263,I263)&lt;Resumen!$B$3),"REVISAR",IF(IF(Q263&lt;&gt;"",Q263,I263)&lt;TODAY(),"ATRASADO",IF(IF(Q263&lt;&gt;"",Q263,I263)-TODAY()&lt;=2,"POR VENCER","EN TIEMPO")))))</f>
        <v>Entregado</v>
      </c>
      <c r="N263" s="23" t="s">
        <v>245</v>
      </c>
      <c r="P263" s="23" t="s">
        <v>543</v>
      </c>
      <c r="Q263" s="28"/>
    </row>
    <row r="264" spans="1:17" ht="16.5" hidden="1" x14ac:dyDescent="0.3">
      <c r="A264" s="23" t="s">
        <v>541</v>
      </c>
      <c r="B264" s="23" t="s">
        <v>59</v>
      </c>
      <c r="C264" s="23" t="s">
        <v>544</v>
      </c>
      <c r="D264" s="24">
        <v>46120</v>
      </c>
      <c r="E264" s="25">
        <v>1</v>
      </c>
      <c r="F264" s="24">
        <v>46120</v>
      </c>
      <c r="G264" s="23" t="s">
        <v>423</v>
      </c>
      <c r="H264" s="26">
        <v>56</v>
      </c>
      <c r="I264" s="24">
        <f t="shared" si="12"/>
        <v>46176</v>
      </c>
      <c r="J264" s="26">
        <f t="shared" ca="1" si="13"/>
        <v>-128</v>
      </c>
      <c r="K264" s="26" t="str">
        <f t="shared" ca="1" si="14"/>
        <v/>
      </c>
      <c r="L264" s="27" t="s">
        <v>1567</v>
      </c>
      <c r="M264" s="26" t="str">
        <f ca="1">IF(L264&lt;&gt;"","Entregado",IF(NOT(ISNUMBER(IF(Q264&lt;&gt;"",Q264,I264))),"REVISAR TE",IF(AND(ISNUMBER(Resumen!$B$3),IF(Q264&lt;&gt;"",Q264,I264)&lt;Resumen!$B$3),"REVISAR",IF(IF(Q264&lt;&gt;"",Q264,I264)&lt;TODAY(),"ATRASADO",IF(IF(Q264&lt;&gt;"",Q264,I264)-TODAY()&lt;=2,"POR VENCER","EN TIEMPO")))))</f>
        <v>Entregado</v>
      </c>
      <c r="N264" s="23" t="s">
        <v>245</v>
      </c>
      <c r="P264" s="23" t="s">
        <v>543</v>
      </c>
      <c r="Q264" s="28"/>
    </row>
    <row r="265" spans="1:17" ht="16.5" hidden="1" x14ac:dyDescent="0.3">
      <c r="A265" s="23" t="s">
        <v>541</v>
      </c>
      <c r="B265" s="23" t="s">
        <v>59</v>
      </c>
      <c r="C265" s="23" t="s">
        <v>545</v>
      </c>
      <c r="D265" s="24">
        <v>46120</v>
      </c>
      <c r="E265" s="25">
        <v>1</v>
      </c>
      <c r="F265" s="24">
        <v>46120</v>
      </c>
      <c r="G265" s="23" t="s">
        <v>423</v>
      </c>
      <c r="H265" s="26">
        <v>56</v>
      </c>
      <c r="I265" s="24">
        <f t="shared" si="12"/>
        <v>46176</v>
      </c>
      <c r="J265" s="26">
        <f t="shared" ca="1" si="13"/>
        <v>-128</v>
      </c>
      <c r="K265" s="26" t="str">
        <f t="shared" ca="1" si="14"/>
        <v/>
      </c>
      <c r="L265" s="27" t="s">
        <v>1567</v>
      </c>
      <c r="M265" s="26" t="str">
        <f ca="1">IF(L265&lt;&gt;"","Entregado",IF(NOT(ISNUMBER(IF(Q265&lt;&gt;"",Q265,I265))),"REVISAR TE",IF(AND(ISNUMBER(Resumen!$B$3),IF(Q265&lt;&gt;"",Q265,I265)&lt;Resumen!$B$3),"REVISAR",IF(IF(Q265&lt;&gt;"",Q265,I265)&lt;TODAY(),"ATRASADO",IF(IF(Q265&lt;&gt;"",Q265,I265)-TODAY()&lt;=2,"POR VENCER","EN TIEMPO")))))</f>
        <v>Entregado</v>
      </c>
      <c r="N265" s="23" t="s">
        <v>245</v>
      </c>
      <c r="P265" s="23" t="s">
        <v>543</v>
      </c>
      <c r="Q265" s="28"/>
    </row>
    <row r="266" spans="1:17" ht="16.5" hidden="1" x14ac:dyDescent="0.3">
      <c r="A266" s="23" t="s">
        <v>546</v>
      </c>
      <c r="B266" s="23" t="s">
        <v>57</v>
      </c>
      <c r="C266" s="23" t="s">
        <v>547</v>
      </c>
      <c r="D266" s="24">
        <v>46121</v>
      </c>
      <c r="E266" s="25">
        <v>1</v>
      </c>
      <c r="F266" s="24">
        <v>46121</v>
      </c>
      <c r="G266" s="23" t="s">
        <v>204</v>
      </c>
      <c r="H266" s="26">
        <v>42</v>
      </c>
      <c r="I266" s="24">
        <f t="shared" si="12"/>
        <v>46163</v>
      </c>
      <c r="J266" s="26">
        <f t="shared" ca="1" si="13"/>
        <v>-141</v>
      </c>
      <c r="K266" s="26" t="str">
        <f t="shared" ca="1" si="14"/>
        <v/>
      </c>
      <c r="L266" s="27" t="s">
        <v>1567</v>
      </c>
      <c r="M266" s="26" t="str">
        <f ca="1">IF(L266&lt;&gt;"","Entregado",IF(NOT(ISNUMBER(IF(Q266&lt;&gt;"",Q266,I266))),"REVISAR TE",IF(AND(ISNUMBER(Resumen!$B$3),IF(Q266&lt;&gt;"",Q266,I266)&lt;Resumen!$B$3),"REVISAR",IF(IF(Q266&lt;&gt;"",Q266,I266)&lt;TODAY(),"ATRASADO",IF(IF(Q266&lt;&gt;"",Q266,I266)-TODAY()&lt;=2,"POR VENCER","EN TIEMPO")))))</f>
        <v>Entregado</v>
      </c>
      <c r="N266" s="23" t="s">
        <v>84</v>
      </c>
      <c r="P266" s="23" t="s">
        <v>548</v>
      </c>
      <c r="Q266" s="28"/>
    </row>
    <row r="267" spans="1:17" ht="16.5" hidden="1" x14ac:dyDescent="0.3">
      <c r="A267" s="23" t="s">
        <v>549</v>
      </c>
      <c r="B267" s="23" t="s">
        <v>54</v>
      </c>
      <c r="C267" s="23" t="s">
        <v>550</v>
      </c>
      <c r="D267" s="24">
        <v>46121</v>
      </c>
      <c r="E267" s="25">
        <v>10</v>
      </c>
      <c r="F267" s="24">
        <v>46121</v>
      </c>
      <c r="G267" s="23" t="s">
        <v>204</v>
      </c>
      <c r="H267" s="26">
        <v>42</v>
      </c>
      <c r="I267" s="24">
        <f t="shared" si="12"/>
        <v>46163</v>
      </c>
      <c r="J267" s="26">
        <f t="shared" ca="1" si="13"/>
        <v>-141</v>
      </c>
      <c r="K267" s="26" t="str">
        <f t="shared" ca="1" si="14"/>
        <v/>
      </c>
      <c r="L267" s="27" t="s">
        <v>1567</v>
      </c>
      <c r="M267" s="26" t="str">
        <f ca="1">IF(L267&lt;&gt;"","Entregado",IF(NOT(ISNUMBER(IF(Q267&lt;&gt;"",Q267,I267))),"REVISAR TE",IF(AND(ISNUMBER(Resumen!$B$3),IF(Q267&lt;&gt;"",Q267,I267)&lt;Resumen!$B$3),"REVISAR",IF(IF(Q267&lt;&gt;"",Q267,I267)&lt;TODAY(),"ATRASADO",IF(IF(Q267&lt;&gt;"",Q267,I267)-TODAY()&lt;=2,"POR VENCER","EN TIEMPO")))))</f>
        <v>Entregado</v>
      </c>
      <c r="N267" s="23" t="s">
        <v>431</v>
      </c>
      <c r="P267" s="23" t="s">
        <v>551</v>
      </c>
      <c r="Q267" s="28"/>
    </row>
    <row r="268" spans="1:17" ht="16.5" hidden="1" x14ac:dyDescent="0.3">
      <c r="A268" s="23" t="s">
        <v>552</v>
      </c>
      <c r="B268" s="23" t="s">
        <v>54</v>
      </c>
      <c r="C268" s="23" t="s">
        <v>555</v>
      </c>
      <c r="D268" s="24">
        <v>46121</v>
      </c>
      <c r="E268" s="25">
        <v>1</v>
      </c>
      <c r="F268" s="24">
        <v>46121</v>
      </c>
      <c r="G268" s="23" t="s">
        <v>553</v>
      </c>
      <c r="H268" s="26">
        <v>28</v>
      </c>
      <c r="I268" s="24">
        <f t="shared" si="12"/>
        <v>46149</v>
      </c>
      <c r="J268" s="26">
        <f t="shared" ca="1" si="13"/>
        <v>-155</v>
      </c>
      <c r="K268" s="26" t="str">
        <f t="shared" ca="1" si="14"/>
        <v/>
      </c>
      <c r="L268" s="27" t="s">
        <v>1567</v>
      </c>
      <c r="M268" s="26" t="str">
        <f ca="1">IF(L268&lt;&gt;"","Entregado",IF(NOT(ISNUMBER(IF(Q268&lt;&gt;"",Q268,I268))),"REVISAR TE",IF(AND(ISNUMBER(Resumen!$B$3),IF(Q268&lt;&gt;"",Q268,I268)&lt;Resumen!$B$3),"REVISAR",IF(IF(Q268&lt;&gt;"",Q268,I268)&lt;TODAY(),"ATRASADO",IF(IF(Q268&lt;&gt;"",Q268,I268)-TODAY()&lt;=2,"POR VENCER","EN TIEMPO")))))</f>
        <v>Entregado</v>
      </c>
      <c r="N268" s="23" t="s">
        <v>554</v>
      </c>
      <c r="P268" s="23" t="s">
        <v>556</v>
      </c>
      <c r="Q268" s="28"/>
    </row>
    <row r="269" spans="1:17" ht="16.5" hidden="1" x14ac:dyDescent="0.3">
      <c r="A269" s="23" t="s">
        <v>552</v>
      </c>
      <c r="B269" s="23" t="s">
        <v>54</v>
      </c>
      <c r="C269" s="23" t="s">
        <v>557</v>
      </c>
      <c r="D269" s="24">
        <v>46121</v>
      </c>
      <c r="E269" s="25">
        <v>1</v>
      </c>
      <c r="F269" s="24">
        <v>46121</v>
      </c>
      <c r="G269" s="23" t="s">
        <v>553</v>
      </c>
      <c r="H269" s="26">
        <v>28</v>
      </c>
      <c r="I269" s="24">
        <f t="shared" si="12"/>
        <v>46149</v>
      </c>
      <c r="J269" s="26">
        <f t="shared" ca="1" si="13"/>
        <v>-155</v>
      </c>
      <c r="K269" s="26" t="str">
        <f t="shared" ca="1" si="14"/>
        <v/>
      </c>
      <c r="L269" s="27" t="s">
        <v>1567</v>
      </c>
      <c r="M269" s="26" t="str">
        <f ca="1">IF(L269&lt;&gt;"","Entregado",IF(NOT(ISNUMBER(IF(Q269&lt;&gt;"",Q269,I269))),"REVISAR TE",IF(AND(ISNUMBER(Resumen!$B$3),IF(Q269&lt;&gt;"",Q269,I269)&lt;Resumen!$B$3),"REVISAR",IF(IF(Q269&lt;&gt;"",Q269,I269)&lt;TODAY(),"ATRASADO",IF(IF(Q269&lt;&gt;"",Q269,I269)-TODAY()&lt;=2,"POR VENCER","EN TIEMPO")))))</f>
        <v>Entregado</v>
      </c>
      <c r="N269" s="23" t="s">
        <v>554</v>
      </c>
      <c r="P269" s="23" t="s">
        <v>556</v>
      </c>
      <c r="Q269" s="28"/>
    </row>
    <row r="270" spans="1:17" ht="16.5" hidden="1" x14ac:dyDescent="0.3">
      <c r="A270" s="23" t="s">
        <v>552</v>
      </c>
      <c r="B270" s="23" t="s">
        <v>54</v>
      </c>
      <c r="C270" s="23" t="s">
        <v>558</v>
      </c>
      <c r="D270" s="24">
        <v>46121</v>
      </c>
      <c r="E270" s="25">
        <v>1</v>
      </c>
      <c r="F270" s="24">
        <v>46121</v>
      </c>
      <c r="G270" s="23" t="s">
        <v>553</v>
      </c>
      <c r="H270" s="26">
        <v>28</v>
      </c>
      <c r="I270" s="24">
        <f t="shared" si="12"/>
        <v>46149</v>
      </c>
      <c r="J270" s="26">
        <f t="shared" ca="1" si="13"/>
        <v>-155</v>
      </c>
      <c r="K270" s="26" t="str">
        <f t="shared" ca="1" si="14"/>
        <v/>
      </c>
      <c r="L270" s="27" t="s">
        <v>1567</v>
      </c>
      <c r="M270" s="26" t="str">
        <f ca="1">IF(L270&lt;&gt;"","Entregado",IF(NOT(ISNUMBER(IF(Q270&lt;&gt;"",Q270,I270))),"REVISAR TE",IF(AND(ISNUMBER(Resumen!$B$3),IF(Q270&lt;&gt;"",Q270,I270)&lt;Resumen!$B$3),"REVISAR",IF(IF(Q270&lt;&gt;"",Q270,I270)&lt;TODAY(),"ATRASADO",IF(IF(Q270&lt;&gt;"",Q270,I270)-TODAY()&lt;=2,"POR VENCER","EN TIEMPO")))))</f>
        <v>Entregado</v>
      </c>
      <c r="N270" s="23" t="s">
        <v>554</v>
      </c>
      <c r="P270" s="23" t="s">
        <v>556</v>
      </c>
      <c r="Q270" s="28"/>
    </row>
    <row r="271" spans="1:17" ht="16.5" hidden="1" x14ac:dyDescent="0.3">
      <c r="A271" s="23" t="s">
        <v>552</v>
      </c>
      <c r="B271" s="23" t="s">
        <v>54</v>
      </c>
      <c r="C271" s="23" t="s">
        <v>559</v>
      </c>
      <c r="D271" s="24">
        <v>46121</v>
      </c>
      <c r="E271" s="25">
        <v>1</v>
      </c>
      <c r="F271" s="24">
        <v>46121</v>
      </c>
      <c r="G271" s="23" t="s">
        <v>553</v>
      </c>
      <c r="H271" s="26">
        <v>28</v>
      </c>
      <c r="I271" s="24">
        <f t="shared" si="12"/>
        <v>46149</v>
      </c>
      <c r="J271" s="26">
        <f t="shared" ca="1" si="13"/>
        <v>-155</v>
      </c>
      <c r="K271" s="26" t="str">
        <f t="shared" ca="1" si="14"/>
        <v/>
      </c>
      <c r="L271" s="27" t="s">
        <v>1567</v>
      </c>
      <c r="M271" s="26" t="str">
        <f ca="1">IF(L271&lt;&gt;"","Entregado",IF(NOT(ISNUMBER(IF(Q271&lt;&gt;"",Q271,I271))),"REVISAR TE",IF(AND(ISNUMBER(Resumen!$B$3),IF(Q271&lt;&gt;"",Q271,I271)&lt;Resumen!$B$3),"REVISAR",IF(IF(Q271&lt;&gt;"",Q271,I271)&lt;TODAY(),"ATRASADO",IF(IF(Q271&lt;&gt;"",Q271,I271)-TODAY()&lt;=2,"POR VENCER","EN TIEMPO")))))</f>
        <v>Entregado</v>
      </c>
      <c r="N271" s="23" t="s">
        <v>554</v>
      </c>
      <c r="P271" s="23" t="s">
        <v>556</v>
      </c>
      <c r="Q271" s="28"/>
    </row>
    <row r="272" spans="1:17" ht="16.5" hidden="1" x14ac:dyDescent="0.3">
      <c r="A272" s="23" t="s">
        <v>552</v>
      </c>
      <c r="B272" s="23" t="s">
        <v>54</v>
      </c>
      <c r="C272" s="23" t="s">
        <v>560</v>
      </c>
      <c r="D272" s="24">
        <v>46121</v>
      </c>
      <c r="E272" s="25">
        <v>1</v>
      </c>
      <c r="F272" s="24">
        <v>46121</v>
      </c>
      <c r="G272" s="23" t="s">
        <v>553</v>
      </c>
      <c r="H272" s="26">
        <v>28</v>
      </c>
      <c r="I272" s="24">
        <f t="shared" si="12"/>
        <v>46149</v>
      </c>
      <c r="J272" s="26">
        <f t="shared" ca="1" si="13"/>
        <v>-155</v>
      </c>
      <c r="K272" s="26" t="str">
        <f t="shared" ca="1" si="14"/>
        <v/>
      </c>
      <c r="L272" s="27" t="s">
        <v>1567</v>
      </c>
      <c r="M272" s="26" t="str">
        <f ca="1">IF(L272&lt;&gt;"","Entregado",IF(NOT(ISNUMBER(IF(Q272&lt;&gt;"",Q272,I272))),"REVISAR TE",IF(AND(ISNUMBER(Resumen!$B$3),IF(Q272&lt;&gt;"",Q272,I272)&lt;Resumen!$B$3),"REVISAR",IF(IF(Q272&lt;&gt;"",Q272,I272)&lt;TODAY(),"ATRASADO",IF(IF(Q272&lt;&gt;"",Q272,I272)-TODAY()&lt;=2,"POR VENCER","EN TIEMPO")))))</f>
        <v>Entregado</v>
      </c>
      <c r="N272" s="23" t="s">
        <v>554</v>
      </c>
      <c r="P272" s="23" t="s">
        <v>556</v>
      </c>
      <c r="Q272" s="28"/>
    </row>
    <row r="273" spans="1:17" ht="16.5" hidden="1" x14ac:dyDescent="0.3">
      <c r="A273" s="23" t="s">
        <v>552</v>
      </c>
      <c r="B273" s="23" t="s">
        <v>54</v>
      </c>
      <c r="C273" s="23" t="s">
        <v>561</v>
      </c>
      <c r="D273" s="24">
        <v>46121</v>
      </c>
      <c r="E273" s="25">
        <v>1</v>
      </c>
      <c r="F273" s="24">
        <v>46121</v>
      </c>
      <c r="G273" s="23" t="s">
        <v>553</v>
      </c>
      <c r="H273" s="26">
        <v>28</v>
      </c>
      <c r="I273" s="24">
        <f t="shared" si="12"/>
        <v>46149</v>
      </c>
      <c r="J273" s="26">
        <f t="shared" ca="1" si="13"/>
        <v>-155</v>
      </c>
      <c r="K273" s="26" t="str">
        <f t="shared" ca="1" si="14"/>
        <v/>
      </c>
      <c r="L273" s="27" t="s">
        <v>1567</v>
      </c>
      <c r="M273" s="26" t="str">
        <f ca="1">IF(L273&lt;&gt;"","Entregado",IF(NOT(ISNUMBER(IF(Q273&lt;&gt;"",Q273,I273))),"REVISAR TE",IF(AND(ISNUMBER(Resumen!$B$3),IF(Q273&lt;&gt;"",Q273,I273)&lt;Resumen!$B$3),"REVISAR",IF(IF(Q273&lt;&gt;"",Q273,I273)&lt;TODAY(),"ATRASADO",IF(IF(Q273&lt;&gt;"",Q273,I273)-TODAY()&lt;=2,"POR VENCER","EN TIEMPO")))))</f>
        <v>Entregado</v>
      </c>
      <c r="N273" s="23" t="s">
        <v>554</v>
      </c>
      <c r="P273" s="23" t="s">
        <v>556</v>
      </c>
      <c r="Q273" s="28"/>
    </row>
    <row r="274" spans="1:17" ht="16.5" hidden="1" x14ac:dyDescent="0.3">
      <c r="A274" s="23" t="s">
        <v>552</v>
      </c>
      <c r="B274" s="23" t="s">
        <v>54</v>
      </c>
      <c r="C274" s="23" t="s">
        <v>562</v>
      </c>
      <c r="D274" s="24">
        <v>46121</v>
      </c>
      <c r="E274" s="25">
        <v>1</v>
      </c>
      <c r="F274" s="24">
        <v>46121</v>
      </c>
      <c r="G274" s="23" t="s">
        <v>553</v>
      </c>
      <c r="H274" s="26">
        <v>28</v>
      </c>
      <c r="I274" s="24">
        <f t="shared" si="12"/>
        <v>46149</v>
      </c>
      <c r="J274" s="26">
        <f t="shared" ca="1" si="13"/>
        <v>-155</v>
      </c>
      <c r="K274" s="26" t="str">
        <f t="shared" ca="1" si="14"/>
        <v/>
      </c>
      <c r="L274" s="27" t="s">
        <v>1567</v>
      </c>
      <c r="M274" s="26" t="str">
        <f ca="1">IF(L274&lt;&gt;"","Entregado",IF(NOT(ISNUMBER(IF(Q274&lt;&gt;"",Q274,I274))),"REVISAR TE",IF(AND(ISNUMBER(Resumen!$B$3),IF(Q274&lt;&gt;"",Q274,I274)&lt;Resumen!$B$3),"REVISAR",IF(IF(Q274&lt;&gt;"",Q274,I274)&lt;TODAY(),"ATRASADO",IF(IF(Q274&lt;&gt;"",Q274,I274)-TODAY()&lt;=2,"POR VENCER","EN TIEMPO")))))</f>
        <v>Entregado</v>
      </c>
      <c r="N274" s="23" t="s">
        <v>554</v>
      </c>
      <c r="P274" s="23" t="s">
        <v>556</v>
      </c>
      <c r="Q274" s="28"/>
    </row>
    <row r="275" spans="1:17" ht="16.5" hidden="1" x14ac:dyDescent="0.3">
      <c r="A275" s="23" t="s">
        <v>552</v>
      </c>
      <c r="B275" s="23" t="s">
        <v>54</v>
      </c>
      <c r="C275" s="23" t="s">
        <v>563</v>
      </c>
      <c r="D275" s="24">
        <v>46121</v>
      </c>
      <c r="E275" s="25">
        <v>1</v>
      </c>
      <c r="F275" s="24">
        <v>46121</v>
      </c>
      <c r="G275" s="23" t="s">
        <v>553</v>
      </c>
      <c r="H275" s="26">
        <v>28</v>
      </c>
      <c r="I275" s="24">
        <f t="shared" si="12"/>
        <v>46149</v>
      </c>
      <c r="J275" s="26">
        <f t="shared" ca="1" si="13"/>
        <v>-155</v>
      </c>
      <c r="K275" s="26" t="str">
        <f t="shared" ca="1" si="14"/>
        <v/>
      </c>
      <c r="L275" s="27" t="s">
        <v>1567</v>
      </c>
      <c r="M275" s="26" t="str">
        <f ca="1">IF(L275&lt;&gt;"","Entregado",IF(NOT(ISNUMBER(IF(Q275&lt;&gt;"",Q275,I275))),"REVISAR TE",IF(AND(ISNUMBER(Resumen!$B$3),IF(Q275&lt;&gt;"",Q275,I275)&lt;Resumen!$B$3),"REVISAR",IF(IF(Q275&lt;&gt;"",Q275,I275)&lt;TODAY(),"ATRASADO",IF(IF(Q275&lt;&gt;"",Q275,I275)-TODAY()&lt;=2,"POR VENCER","EN TIEMPO")))))</f>
        <v>Entregado</v>
      </c>
      <c r="N275" s="23" t="s">
        <v>554</v>
      </c>
      <c r="P275" s="23" t="s">
        <v>556</v>
      </c>
      <c r="Q275" s="28"/>
    </row>
    <row r="276" spans="1:17" ht="16.5" hidden="1" x14ac:dyDescent="0.3">
      <c r="A276" s="23" t="s">
        <v>552</v>
      </c>
      <c r="B276" s="23" t="s">
        <v>54</v>
      </c>
      <c r="C276" s="23" t="s">
        <v>564</v>
      </c>
      <c r="D276" s="24">
        <v>46121</v>
      </c>
      <c r="E276" s="25">
        <v>1</v>
      </c>
      <c r="F276" s="24">
        <v>46121</v>
      </c>
      <c r="G276" s="23" t="s">
        <v>553</v>
      </c>
      <c r="H276" s="26">
        <v>28</v>
      </c>
      <c r="I276" s="24">
        <f t="shared" si="12"/>
        <v>46149</v>
      </c>
      <c r="J276" s="26">
        <f t="shared" ca="1" si="13"/>
        <v>-155</v>
      </c>
      <c r="K276" s="26" t="str">
        <f t="shared" ca="1" si="14"/>
        <v/>
      </c>
      <c r="L276" s="27" t="s">
        <v>1567</v>
      </c>
      <c r="M276" s="26" t="str">
        <f ca="1">IF(L276&lt;&gt;"","Entregado",IF(NOT(ISNUMBER(IF(Q276&lt;&gt;"",Q276,I276))),"REVISAR TE",IF(AND(ISNUMBER(Resumen!$B$3),IF(Q276&lt;&gt;"",Q276,I276)&lt;Resumen!$B$3),"REVISAR",IF(IF(Q276&lt;&gt;"",Q276,I276)&lt;TODAY(),"ATRASADO",IF(IF(Q276&lt;&gt;"",Q276,I276)-TODAY()&lt;=2,"POR VENCER","EN TIEMPO")))))</f>
        <v>Entregado</v>
      </c>
      <c r="N276" s="23" t="s">
        <v>554</v>
      </c>
      <c r="P276" s="23" t="s">
        <v>556</v>
      </c>
      <c r="Q276" s="28"/>
    </row>
    <row r="277" spans="1:17" ht="16.5" hidden="1" x14ac:dyDescent="0.3">
      <c r="A277" s="23" t="s">
        <v>552</v>
      </c>
      <c r="B277" s="23" t="s">
        <v>54</v>
      </c>
      <c r="C277" s="23" t="s">
        <v>565</v>
      </c>
      <c r="D277" s="24">
        <v>46121</v>
      </c>
      <c r="E277" s="25">
        <v>1</v>
      </c>
      <c r="F277" s="24">
        <v>46121</v>
      </c>
      <c r="G277" s="23" t="s">
        <v>553</v>
      </c>
      <c r="H277" s="26">
        <v>28</v>
      </c>
      <c r="I277" s="24">
        <f t="shared" si="12"/>
        <v>46149</v>
      </c>
      <c r="J277" s="26">
        <f t="shared" ca="1" si="13"/>
        <v>-155</v>
      </c>
      <c r="K277" s="26" t="str">
        <f t="shared" ca="1" si="14"/>
        <v/>
      </c>
      <c r="L277" s="27" t="s">
        <v>1567</v>
      </c>
      <c r="M277" s="26" t="str">
        <f ca="1">IF(L277&lt;&gt;"","Entregado",IF(NOT(ISNUMBER(IF(Q277&lt;&gt;"",Q277,I277))),"REVISAR TE",IF(AND(ISNUMBER(Resumen!$B$3),IF(Q277&lt;&gt;"",Q277,I277)&lt;Resumen!$B$3),"REVISAR",IF(IF(Q277&lt;&gt;"",Q277,I277)&lt;TODAY(),"ATRASADO",IF(IF(Q277&lt;&gt;"",Q277,I277)-TODAY()&lt;=2,"POR VENCER","EN TIEMPO")))))</f>
        <v>Entregado</v>
      </c>
      <c r="N277" s="23" t="s">
        <v>554</v>
      </c>
      <c r="P277" s="23" t="s">
        <v>556</v>
      </c>
      <c r="Q277" s="28"/>
    </row>
    <row r="278" spans="1:17" ht="16.5" hidden="1" x14ac:dyDescent="0.3">
      <c r="A278" s="23" t="s">
        <v>566</v>
      </c>
      <c r="B278" s="23" t="s">
        <v>55</v>
      </c>
      <c r="C278" s="23" t="s">
        <v>356</v>
      </c>
      <c r="D278" s="24">
        <v>46122</v>
      </c>
      <c r="E278" s="25">
        <v>3</v>
      </c>
      <c r="F278" s="24">
        <v>46122</v>
      </c>
      <c r="G278" s="23" t="s">
        <v>567</v>
      </c>
      <c r="H278" s="26">
        <v>14</v>
      </c>
      <c r="I278" s="24">
        <f t="shared" si="12"/>
        <v>46136</v>
      </c>
      <c r="J278" s="26">
        <f t="shared" ca="1" si="13"/>
        <v>-168</v>
      </c>
      <c r="K278" s="26" t="str">
        <f t="shared" ca="1" si="14"/>
        <v/>
      </c>
      <c r="L278" s="27" t="s">
        <v>1567</v>
      </c>
      <c r="M278" s="26" t="str">
        <f ca="1">IF(L278&lt;&gt;"","Entregado",IF(NOT(ISNUMBER(IF(Q278&lt;&gt;"",Q278,I278))),"REVISAR TE",IF(AND(ISNUMBER(Resumen!$B$3),IF(Q278&lt;&gt;"",Q278,I278)&lt;Resumen!$B$3),"REVISAR",IF(IF(Q278&lt;&gt;"",Q278,I278)&lt;TODAY(),"ATRASADO",IF(IF(Q278&lt;&gt;"",Q278,I278)-TODAY()&lt;=2,"POR VENCER","EN TIEMPO")))))</f>
        <v>Entregado</v>
      </c>
      <c r="N278" s="23" t="s">
        <v>98</v>
      </c>
      <c r="P278" s="23" t="s">
        <v>568</v>
      </c>
      <c r="Q278" s="28"/>
    </row>
    <row r="279" spans="1:17" ht="16.5" hidden="1" x14ac:dyDescent="0.3">
      <c r="A279" s="23" t="s">
        <v>566</v>
      </c>
      <c r="B279" s="23" t="s">
        <v>55</v>
      </c>
      <c r="C279" s="23" t="s">
        <v>357</v>
      </c>
      <c r="D279" s="24">
        <v>46122</v>
      </c>
      <c r="E279" s="25">
        <v>1</v>
      </c>
      <c r="F279" s="24">
        <v>46122</v>
      </c>
      <c r="G279" s="23" t="s">
        <v>567</v>
      </c>
      <c r="H279" s="26">
        <v>14</v>
      </c>
      <c r="I279" s="24">
        <f t="shared" si="12"/>
        <v>46136</v>
      </c>
      <c r="J279" s="26">
        <f t="shared" ca="1" si="13"/>
        <v>-168</v>
      </c>
      <c r="K279" s="26" t="str">
        <f t="shared" ca="1" si="14"/>
        <v/>
      </c>
      <c r="L279" s="27" t="s">
        <v>1567</v>
      </c>
      <c r="M279" s="26" t="str">
        <f ca="1">IF(L279&lt;&gt;"","Entregado",IF(NOT(ISNUMBER(IF(Q279&lt;&gt;"",Q279,I279))),"REVISAR TE",IF(AND(ISNUMBER(Resumen!$B$3),IF(Q279&lt;&gt;"",Q279,I279)&lt;Resumen!$B$3),"REVISAR",IF(IF(Q279&lt;&gt;"",Q279,I279)&lt;TODAY(),"ATRASADO",IF(IF(Q279&lt;&gt;"",Q279,I279)-TODAY()&lt;=2,"POR VENCER","EN TIEMPO")))))</f>
        <v>Entregado</v>
      </c>
      <c r="N279" s="23" t="s">
        <v>245</v>
      </c>
      <c r="P279" s="23" t="s">
        <v>568</v>
      </c>
      <c r="Q279" s="28"/>
    </row>
    <row r="280" spans="1:17" ht="16.5" hidden="1" x14ac:dyDescent="0.3">
      <c r="A280" s="23" t="s">
        <v>569</v>
      </c>
      <c r="B280" s="23" t="s">
        <v>52</v>
      </c>
      <c r="C280" s="23" t="s">
        <v>570</v>
      </c>
      <c r="D280" s="24">
        <v>46126</v>
      </c>
      <c r="E280" s="25">
        <v>1</v>
      </c>
      <c r="F280" s="24">
        <v>46126</v>
      </c>
      <c r="G280" s="23" t="s">
        <v>180</v>
      </c>
      <c r="H280" s="26">
        <v>14</v>
      </c>
      <c r="I280" s="24">
        <f t="shared" si="12"/>
        <v>46140</v>
      </c>
      <c r="J280" s="26">
        <f t="shared" ca="1" si="13"/>
        <v>-164</v>
      </c>
      <c r="K280" s="26" t="str">
        <f t="shared" ca="1" si="14"/>
        <v/>
      </c>
      <c r="L280" s="27" t="s">
        <v>1567</v>
      </c>
      <c r="M280" s="26" t="str">
        <f ca="1">IF(L280&lt;&gt;"","Entregado",IF(NOT(ISNUMBER(IF(Q280&lt;&gt;"",Q280,I280))),"REVISAR TE",IF(AND(ISNUMBER(Resumen!$B$3),IF(Q280&lt;&gt;"",Q280,I280)&lt;Resumen!$B$3),"REVISAR",IF(IF(Q280&lt;&gt;"",Q280,I280)&lt;TODAY(),"ATRASADO",IF(IF(Q280&lt;&gt;"",Q280,I280)-TODAY()&lt;=2,"POR VENCER","EN TIEMPO")))))</f>
        <v>Entregado</v>
      </c>
      <c r="N280" s="23" t="s">
        <v>165</v>
      </c>
      <c r="P280" s="23" t="s">
        <v>571</v>
      </c>
      <c r="Q280" s="28"/>
    </row>
    <row r="281" spans="1:17" ht="16.5" hidden="1" x14ac:dyDescent="0.3">
      <c r="A281" s="23" t="s">
        <v>572</v>
      </c>
      <c r="B281" s="23" t="s">
        <v>52</v>
      </c>
      <c r="C281" s="23" t="s">
        <v>573</v>
      </c>
      <c r="D281" s="24">
        <v>46126</v>
      </c>
      <c r="E281" s="25">
        <v>1</v>
      </c>
      <c r="F281" s="24">
        <v>46126</v>
      </c>
      <c r="G281" s="23" t="s">
        <v>156</v>
      </c>
      <c r="H281" s="26">
        <v>21</v>
      </c>
      <c r="I281" s="24">
        <f t="shared" si="12"/>
        <v>46147</v>
      </c>
      <c r="J281" s="26">
        <f t="shared" ca="1" si="13"/>
        <v>-157</v>
      </c>
      <c r="K281" s="26" t="str">
        <f t="shared" ca="1" si="14"/>
        <v/>
      </c>
      <c r="L281" s="27" t="s">
        <v>1567</v>
      </c>
      <c r="M281" s="26" t="str">
        <f ca="1">IF(L281&lt;&gt;"","Entregado",IF(NOT(ISNUMBER(IF(Q281&lt;&gt;"",Q281,I281))),"REVISAR TE",IF(AND(ISNUMBER(Resumen!$B$3),IF(Q281&lt;&gt;"",Q281,I281)&lt;Resumen!$B$3),"REVISAR",IF(IF(Q281&lt;&gt;"",Q281,I281)&lt;TODAY(),"ATRASADO",IF(IF(Q281&lt;&gt;"",Q281,I281)-TODAY()&lt;=2,"POR VENCER","EN TIEMPO")))))</f>
        <v>Entregado</v>
      </c>
      <c r="N281" s="23" t="s">
        <v>165</v>
      </c>
      <c r="P281" s="23" t="s">
        <v>574</v>
      </c>
      <c r="Q281" s="28"/>
    </row>
    <row r="282" spans="1:17" ht="16.5" hidden="1" x14ac:dyDescent="0.3">
      <c r="A282" s="23" t="s">
        <v>575</v>
      </c>
      <c r="B282" s="23" t="s">
        <v>56</v>
      </c>
      <c r="C282" s="23" t="s">
        <v>576</v>
      </c>
      <c r="D282" s="24">
        <v>46126</v>
      </c>
      <c r="E282" s="25">
        <v>1</v>
      </c>
      <c r="F282" s="24">
        <v>46126</v>
      </c>
      <c r="G282" s="23" t="s">
        <v>180</v>
      </c>
      <c r="H282" s="26">
        <v>14</v>
      </c>
      <c r="I282" s="24">
        <f t="shared" si="12"/>
        <v>46140</v>
      </c>
      <c r="J282" s="26">
        <f t="shared" ca="1" si="13"/>
        <v>-164</v>
      </c>
      <c r="K282" s="26" t="str">
        <f t="shared" ca="1" si="14"/>
        <v/>
      </c>
      <c r="L282" s="27" t="s">
        <v>1567</v>
      </c>
      <c r="M282" s="26" t="str">
        <f ca="1">IF(L282&lt;&gt;"","Entregado",IF(NOT(ISNUMBER(IF(Q282&lt;&gt;"",Q282,I282))),"REVISAR TE",IF(AND(ISNUMBER(Resumen!$B$3),IF(Q282&lt;&gt;"",Q282,I282)&lt;Resumen!$B$3),"REVISAR",IF(IF(Q282&lt;&gt;"",Q282,I282)&lt;TODAY(),"ATRASADO",IF(IF(Q282&lt;&gt;"",Q282,I282)-TODAY()&lt;=2,"POR VENCER","EN TIEMPO")))))</f>
        <v>Entregado</v>
      </c>
      <c r="N282" s="23" t="s">
        <v>431</v>
      </c>
      <c r="P282" s="23" t="s">
        <v>577</v>
      </c>
      <c r="Q282" s="28"/>
    </row>
    <row r="283" spans="1:17" ht="16.5" hidden="1" x14ac:dyDescent="0.3">
      <c r="A283" s="23" t="s">
        <v>575</v>
      </c>
      <c r="B283" s="23" t="s">
        <v>56</v>
      </c>
      <c r="C283" s="23" t="s">
        <v>578</v>
      </c>
      <c r="D283" s="24">
        <v>46126</v>
      </c>
      <c r="E283" s="25">
        <v>11</v>
      </c>
      <c r="F283" s="24">
        <v>46126</v>
      </c>
      <c r="G283" s="23" t="s">
        <v>180</v>
      </c>
      <c r="H283" s="26">
        <v>14</v>
      </c>
      <c r="I283" s="24">
        <f t="shared" si="12"/>
        <v>46140</v>
      </c>
      <c r="J283" s="26">
        <f t="shared" ca="1" si="13"/>
        <v>-164</v>
      </c>
      <c r="K283" s="26" t="str">
        <f t="shared" ca="1" si="14"/>
        <v/>
      </c>
      <c r="L283" s="27" t="s">
        <v>1567</v>
      </c>
      <c r="M283" s="26" t="str">
        <f ca="1">IF(L283&lt;&gt;"","Entregado",IF(NOT(ISNUMBER(IF(Q283&lt;&gt;"",Q283,I283))),"REVISAR TE",IF(AND(ISNUMBER(Resumen!$B$3),IF(Q283&lt;&gt;"",Q283,I283)&lt;Resumen!$B$3),"REVISAR",IF(IF(Q283&lt;&gt;"",Q283,I283)&lt;TODAY(),"ATRASADO",IF(IF(Q283&lt;&gt;"",Q283,I283)-TODAY()&lt;=2,"POR VENCER","EN TIEMPO")))))</f>
        <v>Entregado</v>
      </c>
      <c r="N283" s="23" t="s">
        <v>431</v>
      </c>
      <c r="P283" s="23" t="s">
        <v>577</v>
      </c>
      <c r="Q283" s="28"/>
    </row>
    <row r="284" spans="1:17" ht="16.5" hidden="1" x14ac:dyDescent="0.3">
      <c r="A284" s="23" t="s">
        <v>579</v>
      </c>
      <c r="B284" s="23" t="s">
        <v>54</v>
      </c>
      <c r="C284" s="23" t="s">
        <v>580</v>
      </c>
      <c r="D284" s="24">
        <v>46126</v>
      </c>
      <c r="E284" s="25">
        <v>89</v>
      </c>
      <c r="F284" s="24">
        <v>46126</v>
      </c>
      <c r="G284" s="23" t="s">
        <v>192</v>
      </c>
      <c r="H284" s="26">
        <v>35</v>
      </c>
      <c r="I284" s="24">
        <f t="shared" si="12"/>
        <v>46161</v>
      </c>
      <c r="J284" s="26">
        <f t="shared" ca="1" si="13"/>
        <v>-143</v>
      </c>
      <c r="K284" s="26" t="str">
        <f t="shared" ca="1" si="14"/>
        <v/>
      </c>
      <c r="L284" s="27" t="s">
        <v>1567</v>
      </c>
      <c r="M284" s="26" t="str">
        <f ca="1">IF(L284&lt;&gt;"","Entregado",IF(NOT(ISNUMBER(IF(Q284&lt;&gt;"",Q284,I284))),"REVISAR TE",IF(AND(ISNUMBER(Resumen!$B$3),IF(Q284&lt;&gt;"",Q284,I284)&lt;Resumen!$B$3),"REVISAR",IF(IF(Q284&lt;&gt;"",Q284,I284)&lt;TODAY(),"ATRASADO",IF(IF(Q284&lt;&gt;"",Q284,I284)-TODAY()&lt;=2,"POR VENCER","EN TIEMPO")))))</f>
        <v>Entregado</v>
      </c>
      <c r="N284" s="23" t="s">
        <v>94</v>
      </c>
      <c r="P284" s="23" t="s">
        <v>581</v>
      </c>
      <c r="Q284" s="28"/>
    </row>
    <row r="285" spans="1:17" ht="16.5" hidden="1" x14ac:dyDescent="0.3">
      <c r="A285" s="23" t="s">
        <v>582</v>
      </c>
      <c r="B285" s="23" t="s">
        <v>54</v>
      </c>
      <c r="C285" s="23" t="s">
        <v>583</v>
      </c>
      <c r="D285" s="24">
        <v>46127</v>
      </c>
      <c r="E285" s="25">
        <v>4</v>
      </c>
      <c r="F285" s="24">
        <v>46127</v>
      </c>
      <c r="G285" s="23" t="s">
        <v>156</v>
      </c>
      <c r="H285" s="26">
        <v>21</v>
      </c>
      <c r="I285" s="24">
        <f t="shared" si="12"/>
        <v>46148</v>
      </c>
      <c r="J285" s="26">
        <f t="shared" ca="1" si="13"/>
        <v>-156</v>
      </c>
      <c r="K285" s="26" t="str">
        <f t="shared" ca="1" si="14"/>
        <v/>
      </c>
      <c r="L285" s="27" t="s">
        <v>1567</v>
      </c>
      <c r="M285" s="26" t="str">
        <f ca="1">IF(L285&lt;&gt;"","Entregado",IF(NOT(ISNUMBER(IF(Q285&lt;&gt;"",Q285,I285))),"REVISAR TE",IF(AND(ISNUMBER(Resumen!$B$3),IF(Q285&lt;&gt;"",Q285,I285)&lt;Resumen!$B$3),"REVISAR",IF(IF(Q285&lt;&gt;"",Q285,I285)&lt;TODAY(),"ATRASADO",IF(IF(Q285&lt;&gt;"",Q285,I285)-TODAY()&lt;=2,"POR VENCER","EN TIEMPO")))))</f>
        <v>Entregado</v>
      </c>
      <c r="N285" s="23" t="s">
        <v>98</v>
      </c>
      <c r="P285" s="23" t="s">
        <v>584</v>
      </c>
      <c r="Q285" s="28"/>
    </row>
    <row r="286" spans="1:17" ht="16.5" hidden="1" x14ac:dyDescent="0.3">
      <c r="A286" s="23" t="s">
        <v>585</v>
      </c>
      <c r="B286" s="23" t="s">
        <v>54</v>
      </c>
      <c r="C286" s="23" t="s">
        <v>586</v>
      </c>
      <c r="D286" s="24">
        <v>46127</v>
      </c>
      <c r="E286" s="25">
        <v>3</v>
      </c>
      <c r="F286" s="24">
        <v>46127</v>
      </c>
      <c r="G286" s="23" t="s">
        <v>156</v>
      </c>
      <c r="H286" s="26">
        <v>21</v>
      </c>
      <c r="I286" s="24">
        <f t="shared" si="12"/>
        <v>46148</v>
      </c>
      <c r="J286" s="26">
        <f t="shared" ca="1" si="13"/>
        <v>-156</v>
      </c>
      <c r="K286" s="26" t="str">
        <f t="shared" ca="1" si="14"/>
        <v/>
      </c>
      <c r="L286" s="27" t="s">
        <v>1567</v>
      </c>
      <c r="M286" s="26" t="str">
        <f ca="1">IF(L286&lt;&gt;"","Entregado",IF(NOT(ISNUMBER(IF(Q286&lt;&gt;"",Q286,I286))),"REVISAR TE",IF(AND(ISNUMBER(Resumen!$B$3),IF(Q286&lt;&gt;"",Q286,I286)&lt;Resumen!$B$3),"REVISAR",IF(IF(Q286&lt;&gt;"",Q286,I286)&lt;TODAY(),"ATRASADO",IF(IF(Q286&lt;&gt;"",Q286,I286)-TODAY()&lt;=2,"POR VENCER","EN TIEMPO")))))</f>
        <v>Entregado</v>
      </c>
      <c r="N286" s="23" t="s">
        <v>98</v>
      </c>
      <c r="P286" s="23" t="s">
        <v>587</v>
      </c>
      <c r="Q286" s="28"/>
    </row>
    <row r="287" spans="1:17" ht="16.5" hidden="1" x14ac:dyDescent="0.3">
      <c r="A287" s="23" t="s">
        <v>588</v>
      </c>
      <c r="B287" s="23" t="s">
        <v>61</v>
      </c>
      <c r="C287" s="23" t="s">
        <v>589</v>
      </c>
      <c r="D287" s="24">
        <v>46127</v>
      </c>
      <c r="E287" s="25">
        <v>1</v>
      </c>
      <c r="F287" s="24">
        <v>46127</v>
      </c>
      <c r="G287" s="23" t="s">
        <v>196</v>
      </c>
      <c r="H287" s="26">
        <v>10</v>
      </c>
      <c r="I287" s="24">
        <f t="shared" si="12"/>
        <v>46137</v>
      </c>
      <c r="J287" s="26">
        <f t="shared" ca="1" si="13"/>
        <v>-167</v>
      </c>
      <c r="K287" s="26" t="str">
        <f t="shared" ca="1" si="14"/>
        <v/>
      </c>
      <c r="L287" s="27" t="s">
        <v>1567</v>
      </c>
      <c r="M287" s="26" t="str">
        <f ca="1">IF(L287&lt;&gt;"","Entregado",IF(NOT(ISNUMBER(IF(Q287&lt;&gt;"",Q287,I287))),"REVISAR TE",IF(AND(ISNUMBER(Resumen!$B$3),IF(Q287&lt;&gt;"",Q287,I287)&lt;Resumen!$B$3),"REVISAR",IF(IF(Q287&lt;&gt;"",Q287,I287)&lt;TODAY(),"ATRASADO",IF(IF(Q287&lt;&gt;"",Q287,I287)-TODAY()&lt;=2,"POR VENCER","EN TIEMPO")))))</f>
        <v>Entregado</v>
      </c>
      <c r="N287" s="23" t="s">
        <v>94</v>
      </c>
      <c r="P287" s="23" t="s">
        <v>590</v>
      </c>
      <c r="Q287" s="28"/>
    </row>
    <row r="288" spans="1:17" ht="16.5" hidden="1" x14ac:dyDescent="0.3">
      <c r="A288" s="23" t="s">
        <v>591</v>
      </c>
      <c r="B288" s="23" t="s">
        <v>56</v>
      </c>
      <c r="C288" s="23" t="s">
        <v>592</v>
      </c>
      <c r="D288" s="24">
        <v>46127</v>
      </c>
      <c r="E288" s="25">
        <v>1</v>
      </c>
      <c r="F288" s="24">
        <v>46127</v>
      </c>
      <c r="G288" s="23" t="s">
        <v>156</v>
      </c>
      <c r="H288" s="26">
        <v>21</v>
      </c>
      <c r="I288" s="24">
        <f t="shared" si="12"/>
        <v>46148</v>
      </c>
      <c r="J288" s="26">
        <f t="shared" ca="1" si="13"/>
        <v>-156</v>
      </c>
      <c r="K288" s="26" t="str">
        <f t="shared" ca="1" si="14"/>
        <v/>
      </c>
      <c r="L288" s="27" t="s">
        <v>1567</v>
      </c>
      <c r="M288" s="26" t="str">
        <f ca="1">IF(L288&lt;&gt;"","Entregado",IF(NOT(ISNUMBER(IF(Q288&lt;&gt;"",Q288,I288))),"REVISAR TE",IF(AND(ISNUMBER(Resumen!$B$3),IF(Q288&lt;&gt;"",Q288,I288)&lt;Resumen!$B$3),"REVISAR",IF(IF(Q288&lt;&gt;"",Q288,I288)&lt;TODAY(),"ATRASADO",IF(IF(Q288&lt;&gt;"",Q288,I288)-TODAY()&lt;=2,"POR VENCER","EN TIEMPO")))))</f>
        <v>Entregado</v>
      </c>
      <c r="N288" s="23" t="s">
        <v>216</v>
      </c>
      <c r="P288" s="23" t="s">
        <v>593</v>
      </c>
      <c r="Q288" s="28"/>
    </row>
    <row r="289" spans="1:17" ht="16.5" hidden="1" x14ac:dyDescent="0.3">
      <c r="A289" s="23" t="s">
        <v>594</v>
      </c>
      <c r="B289" s="23" t="s">
        <v>58</v>
      </c>
      <c r="C289" s="23" t="s">
        <v>595</v>
      </c>
      <c r="D289" s="24">
        <v>46128</v>
      </c>
      <c r="E289" s="25">
        <v>10</v>
      </c>
      <c r="F289" s="24">
        <v>46128</v>
      </c>
      <c r="G289" s="23" t="s">
        <v>137</v>
      </c>
      <c r="H289" s="26">
        <v>28</v>
      </c>
      <c r="I289" s="24">
        <f t="shared" si="12"/>
        <v>46156</v>
      </c>
      <c r="J289" s="26">
        <f t="shared" ca="1" si="13"/>
        <v>-148</v>
      </c>
      <c r="K289" s="26" t="str">
        <f t="shared" ca="1" si="14"/>
        <v/>
      </c>
      <c r="L289" s="27" t="s">
        <v>1567</v>
      </c>
      <c r="M289" s="26" t="str">
        <f ca="1">IF(L289&lt;&gt;"","Entregado",IF(NOT(ISNUMBER(IF(Q289&lt;&gt;"",Q289,I289))),"REVISAR TE",IF(AND(ISNUMBER(Resumen!$B$3),IF(Q289&lt;&gt;"",Q289,I289)&lt;Resumen!$B$3),"REVISAR",IF(IF(Q289&lt;&gt;"",Q289,I289)&lt;TODAY(),"ATRASADO",IF(IF(Q289&lt;&gt;"",Q289,I289)-TODAY()&lt;=2,"POR VENCER","EN TIEMPO")))))</f>
        <v>Entregado</v>
      </c>
      <c r="N289" s="23" t="s">
        <v>98</v>
      </c>
      <c r="P289" s="23" t="s">
        <v>596</v>
      </c>
      <c r="Q289" s="28"/>
    </row>
    <row r="290" spans="1:17" ht="16.5" hidden="1" x14ac:dyDescent="0.3">
      <c r="A290" s="23" t="s">
        <v>594</v>
      </c>
      <c r="B290" s="23" t="s">
        <v>58</v>
      </c>
      <c r="C290" s="23" t="s">
        <v>597</v>
      </c>
      <c r="D290" s="24">
        <v>46128</v>
      </c>
      <c r="E290" s="25">
        <v>10</v>
      </c>
      <c r="F290" s="24">
        <v>46128</v>
      </c>
      <c r="G290" s="23" t="s">
        <v>137</v>
      </c>
      <c r="H290" s="26">
        <v>28</v>
      </c>
      <c r="I290" s="24">
        <f t="shared" si="12"/>
        <v>46156</v>
      </c>
      <c r="J290" s="26">
        <f t="shared" ca="1" si="13"/>
        <v>-148</v>
      </c>
      <c r="K290" s="26" t="str">
        <f t="shared" ca="1" si="14"/>
        <v/>
      </c>
      <c r="L290" s="27" t="s">
        <v>1567</v>
      </c>
      <c r="M290" s="26" t="str">
        <f ca="1">IF(L290&lt;&gt;"","Entregado",IF(NOT(ISNUMBER(IF(Q290&lt;&gt;"",Q290,I290))),"REVISAR TE",IF(AND(ISNUMBER(Resumen!$B$3),IF(Q290&lt;&gt;"",Q290,I290)&lt;Resumen!$B$3),"REVISAR",IF(IF(Q290&lt;&gt;"",Q290,I290)&lt;TODAY(),"ATRASADO",IF(IF(Q290&lt;&gt;"",Q290,I290)-TODAY()&lt;=2,"POR VENCER","EN TIEMPO")))))</f>
        <v>Entregado</v>
      </c>
      <c r="N290" s="23" t="s">
        <v>98</v>
      </c>
      <c r="P290" s="23" t="s">
        <v>596</v>
      </c>
      <c r="Q290" s="28"/>
    </row>
    <row r="291" spans="1:17" ht="16.5" hidden="1" x14ac:dyDescent="0.3">
      <c r="A291" s="23" t="s">
        <v>598</v>
      </c>
      <c r="B291" s="23" t="s">
        <v>52</v>
      </c>
      <c r="C291" s="23" t="s">
        <v>599</v>
      </c>
      <c r="D291" s="24">
        <v>46128</v>
      </c>
      <c r="E291" s="25">
        <v>1</v>
      </c>
      <c r="F291" s="24">
        <v>46128</v>
      </c>
      <c r="G291" s="23" t="s">
        <v>180</v>
      </c>
      <c r="H291" s="26">
        <v>14</v>
      </c>
      <c r="I291" s="24">
        <f t="shared" si="12"/>
        <v>46142</v>
      </c>
      <c r="J291" s="26">
        <f t="shared" ca="1" si="13"/>
        <v>-162</v>
      </c>
      <c r="K291" s="26" t="str">
        <f t="shared" ca="1" si="14"/>
        <v/>
      </c>
      <c r="L291" s="27" t="s">
        <v>1567</v>
      </c>
      <c r="M291" s="26" t="str">
        <f ca="1">IF(L291&lt;&gt;"","Entregado",IF(NOT(ISNUMBER(IF(Q291&lt;&gt;"",Q291,I291))),"REVISAR TE",IF(AND(ISNUMBER(Resumen!$B$3),IF(Q291&lt;&gt;"",Q291,I291)&lt;Resumen!$B$3),"REVISAR",IF(IF(Q291&lt;&gt;"",Q291,I291)&lt;TODAY(),"ATRASADO",IF(IF(Q291&lt;&gt;"",Q291,I291)-TODAY()&lt;=2,"POR VENCER","EN TIEMPO")))))</f>
        <v>Entregado</v>
      </c>
      <c r="N291" s="23" t="s">
        <v>94</v>
      </c>
      <c r="P291" s="23" t="s">
        <v>600</v>
      </c>
      <c r="Q291" s="28"/>
    </row>
    <row r="292" spans="1:17" ht="16.5" hidden="1" x14ac:dyDescent="0.3">
      <c r="A292" s="23" t="s">
        <v>601</v>
      </c>
      <c r="B292" s="23" t="s">
        <v>68</v>
      </c>
      <c r="C292" s="23" t="s">
        <v>602</v>
      </c>
      <c r="D292" s="24">
        <v>46129</v>
      </c>
      <c r="E292" s="25">
        <v>1</v>
      </c>
      <c r="F292" s="24">
        <v>46129</v>
      </c>
      <c r="G292" s="23" t="s">
        <v>103</v>
      </c>
      <c r="H292" s="26">
        <v>35</v>
      </c>
      <c r="I292" s="24">
        <f t="shared" si="12"/>
        <v>46164</v>
      </c>
      <c r="J292" s="26">
        <f t="shared" ca="1" si="13"/>
        <v>-140</v>
      </c>
      <c r="K292" s="26" t="str">
        <f t="shared" ca="1" si="14"/>
        <v/>
      </c>
      <c r="L292" s="27" t="s">
        <v>1567</v>
      </c>
      <c r="M292" s="26" t="str">
        <f ca="1">IF(L292&lt;&gt;"","Entregado",IF(NOT(ISNUMBER(IF(Q292&lt;&gt;"",Q292,I292))),"REVISAR TE",IF(AND(ISNUMBER(Resumen!$B$3),IF(Q292&lt;&gt;"",Q292,I292)&lt;Resumen!$B$3),"REVISAR",IF(IF(Q292&lt;&gt;"",Q292,I292)&lt;TODAY(),"ATRASADO",IF(IF(Q292&lt;&gt;"",Q292,I292)-TODAY()&lt;=2,"POR VENCER","EN TIEMPO")))))</f>
        <v>Entregado</v>
      </c>
      <c r="N292" s="23" t="s">
        <v>245</v>
      </c>
      <c r="P292" s="23" t="s">
        <v>603</v>
      </c>
      <c r="Q292" s="28"/>
    </row>
    <row r="293" spans="1:17" ht="16.5" hidden="1" x14ac:dyDescent="0.3">
      <c r="A293" s="23" t="s">
        <v>604</v>
      </c>
      <c r="B293" s="23" t="s">
        <v>58</v>
      </c>
      <c r="C293" s="23" t="s">
        <v>606</v>
      </c>
      <c r="D293" s="24">
        <v>46129</v>
      </c>
      <c r="E293" s="25">
        <v>77</v>
      </c>
      <c r="F293" s="24">
        <v>46129</v>
      </c>
      <c r="G293" s="23" t="s">
        <v>605</v>
      </c>
      <c r="H293" s="26">
        <v>35</v>
      </c>
      <c r="I293" s="24">
        <f t="shared" si="12"/>
        <v>46164</v>
      </c>
      <c r="J293" s="26">
        <f t="shared" ca="1" si="13"/>
        <v>-140</v>
      </c>
      <c r="K293" s="26" t="str">
        <f t="shared" ca="1" si="14"/>
        <v/>
      </c>
      <c r="L293" s="27" t="s">
        <v>1567</v>
      </c>
      <c r="M293" s="26" t="str">
        <f ca="1">IF(L293&lt;&gt;"","Entregado",IF(NOT(ISNUMBER(IF(Q293&lt;&gt;"",Q293,I293))),"REVISAR TE",IF(AND(ISNUMBER(Resumen!$B$3),IF(Q293&lt;&gt;"",Q293,I293)&lt;Resumen!$B$3),"REVISAR",IF(IF(Q293&lt;&gt;"",Q293,I293)&lt;TODAY(),"ATRASADO",IF(IF(Q293&lt;&gt;"",Q293,I293)-TODAY()&lt;=2,"POR VENCER","EN TIEMPO")))))</f>
        <v>Entregado</v>
      </c>
      <c r="N293" s="23" t="s">
        <v>98</v>
      </c>
      <c r="P293" s="23" t="s">
        <v>607</v>
      </c>
      <c r="Q293" s="28"/>
    </row>
    <row r="294" spans="1:17" ht="16.5" hidden="1" x14ac:dyDescent="0.3">
      <c r="A294" s="23" t="s">
        <v>604</v>
      </c>
      <c r="B294" s="23" t="s">
        <v>58</v>
      </c>
      <c r="C294" s="23" t="s">
        <v>608</v>
      </c>
      <c r="D294" s="24">
        <v>46129</v>
      </c>
      <c r="E294" s="25">
        <v>77</v>
      </c>
      <c r="F294" s="24">
        <v>46129</v>
      </c>
      <c r="G294" s="23" t="s">
        <v>605</v>
      </c>
      <c r="H294" s="26">
        <v>35</v>
      </c>
      <c r="I294" s="24">
        <f t="shared" si="12"/>
        <v>46164</v>
      </c>
      <c r="J294" s="26">
        <f t="shared" ca="1" si="13"/>
        <v>-140</v>
      </c>
      <c r="K294" s="26" t="str">
        <f t="shared" ca="1" si="14"/>
        <v/>
      </c>
      <c r="L294" s="27" t="s">
        <v>1567</v>
      </c>
      <c r="M294" s="26" t="str">
        <f ca="1">IF(L294&lt;&gt;"","Entregado",IF(NOT(ISNUMBER(IF(Q294&lt;&gt;"",Q294,I294))),"REVISAR TE",IF(AND(ISNUMBER(Resumen!$B$3),IF(Q294&lt;&gt;"",Q294,I294)&lt;Resumen!$B$3),"REVISAR",IF(IF(Q294&lt;&gt;"",Q294,I294)&lt;TODAY(),"ATRASADO",IF(IF(Q294&lt;&gt;"",Q294,I294)-TODAY()&lt;=2,"POR VENCER","EN TIEMPO")))))</f>
        <v>Entregado</v>
      </c>
      <c r="N294" s="23" t="s">
        <v>98</v>
      </c>
      <c r="P294" s="23" t="s">
        <v>607</v>
      </c>
      <c r="Q294" s="28"/>
    </row>
    <row r="295" spans="1:17" ht="16.5" hidden="1" x14ac:dyDescent="0.3">
      <c r="A295" s="23" t="s">
        <v>609</v>
      </c>
      <c r="B295" s="23" t="s">
        <v>52</v>
      </c>
      <c r="C295" s="23" t="s">
        <v>610</v>
      </c>
      <c r="D295" s="24">
        <v>46129</v>
      </c>
      <c r="E295" s="25">
        <v>1</v>
      </c>
      <c r="F295" s="24">
        <v>46129</v>
      </c>
      <c r="G295" s="23" t="s">
        <v>180</v>
      </c>
      <c r="H295" s="26">
        <v>14</v>
      </c>
      <c r="I295" s="24">
        <f t="shared" si="12"/>
        <v>46143</v>
      </c>
      <c r="J295" s="26">
        <f t="shared" ca="1" si="13"/>
        <v>-161</v>
      </c>
      <c r="K295" s="26" t="str">
        <f t="shared" ca="1" si="14"/>
        <v/>
      </c>
      <c r="L295" s="27" t="s">
        <v>1567</v>
      </c>
      <c r="M295" s="26" t="str">
        <f ca="1">IF(L295&lt;&gt;"","Entregado",IF(NOT(ISNUMBER(IF(Q295&lt;&gt;"",Q295,I295))),"REVISAR TE",IF(AND(ISNUMBER(Resumen!$B$3),IF(Q295&lt;&gt;"",Q295,I295)&lt;Resumen!$B$3),"REVISAR",IF(IF(Q295&lt;&gt;"",Q295,I295)&lt;TODAY(),"ATRASADO",IF(IF(Q295&lt;&gt;"",Q295,I295)-TODAY()&lt;=2,"POR VENCER","EN TIEMPO")))))</f>
        <v>Entregado</v>
      </c>
      <c r="N295" s="23" t="s">
        <v>165</v>
      </c>
      <c r="P295" s="23" t="s">
        <v>611</v>
      </c>
      <c r="Q295" s="28"/>
    </row>
    <row r="296" spans="1:17" ht="16.5" hidden="1" x14ac:dyDescent="0.3">
      <c r="A296" s="23" t="s">
        <v>609</v>
      </c>
      <c r="B296" s="23" t="s">
        <v>52</v>
      </c>
      <c r="C296" s="23" t="s">
        <v>612</v>
      </c>
      <c r="D296" s="24">
        <v>46129</v>
      </c>
      <c r="E296" s="25">
        <v>1</v>
      </c>
      <c r="F296" s="24">
        <v>46129</v>
      </c>
      <c r="G296" s="23" t="s">
        <v>180</v>
      </c>
      <c r="H296" s="26">
        <v>14</v>
      </c>
      <c r="I296" s="24">
        <f t="shared" si="12"/>
        <v>46143</v>
      </c>
      <c r="J296" s="26">
        <f t="shared" ca="1" si="13"/>
        <v>-161</v>
      </c>
      <c r="K296" s="26" t="str">
        <f t="shared" ca="1" si="14"/>
        <v/>
      </c>
      <c r="L296" s="27" t="s">
        <v>1567</v>
      </c>
      <c r="M296" s="26" t="str">
        <f ca="1">IF(L296&lt;&gt;"","Entregado",IF(NOT(ISNUMBER(IF(Q296&lt;&gt;"",Q296,I296))),"REVISAR TE",IF(AND(ISNUMBER(Resumen!$B$3),IF(Q296&lt;&gt;"",Q296,I296)&lt;Resumen!$B$3),"REVISAR",IF(IF(Q296&lt;&gt;"",Q296,I296)&lt;TODAY(),"ATRASADO",IF(IF(Q296&lt;&gt;"",Q296,I296)-TODAY()&lt;=2,"POR VENCER","EN TIEMPO")))))</f>
        <v>Entregado</v>
      </c>
      <c r="N296" s="23" t="s">
        <v>165</v>
      </c>
      <c r="P296" s="23" t="s">
        <v>611</v>
      </c>
      <c r="Q296" s="28"/>
    </row>
    <row r="297" spans="1:17" ht="16.5" hidden="1" x14ac:dyDescent="0.3">
      <c r="A297" s="23" t="s">
        <v>613</v>
      </c>
      <c r="B297" s="23" t="s">
        <v>52</v>
      </c>
      <c r="C297" s="23" t="s">
        <v>614</v>
      </c>
      <c r="D297" s="24">
        <v>46129</v>
      </c>
      <c r="E297" s="25">
        <v>1</v>
      </c>
      <c r="F297" s="24">
        <v>46129</v>
      </c>
      <c r="G297" s="23" t="s">
        <v>180</v>
      </c>
      <c r="H297" s="26">
        <v>14</v>
      </c>
      <c r="I297" s="24">
        <f t="shared" si="12"/>
        <v>46143</v>
      </c>
      <c r="J297" s="26">
        <f t="shared" ca="1" si="13"/>
        <v>-161</v>
      </c>
      <c r="K297" s="26" t="str">
        <f t="shared" ca="1" si="14"/>
        <v/>
      </c>
      <c r="L297" s="27" t="s">
        <v>1567</v>
      </c>
      <c r="M297" s="26" t="str">
        <f ca="1">IF(L297&lt;&gt;"","Entregado",IF(NOT(ISNUMBER(IF(Q297&lt;&gt;"",Q297,I297))),"REVISAR TE",IF(AND(ISNUMBER(Resumen!$B$3),IF(Q297&lt;&gt;"",Q297,I297)&lt;Resumen!$B$3),"REVISAR",IF(IF(Q297&lt;&gt;"",Q297,I297)&lt;TODAY(),"ATRASADO",IF(IF(Q297&lt;&gt;"",Q297,I297)-TODAY()&lt;=2,"POR VENCER","EN TIEMPO")))))</f>
        <v>Entregado</v>
      </c>
      <c r="N297" s="23" t="s">
        <v>216</v>
      </c>
      <c r="P297" s="23" t="s">
        <v>615</v>
      </c>
      <c r="Q297" s="28"/>
    </row>
    <row r="298" spans="1:17" ht="16.5" hidden="1" x14ac:dyDescent="0.3">
      <c r="A298" s="23" t="s">
        <v>616</v>
      </c>
      <c r="B298" s="23" t="s">
        <v>52</v>
      </c>
      <c r="C298" s="23" t="s">
        <v>617</v>
      </c>
      <c r="D298" s="24">
        <v>46129</v>
      </c>
      <c r="E298" s="25">
        <v>1</v>
      </c>
      <c r="F298" s="24">
        <v>46129</v>
      </c>
      <c r="G298" s="23" t="s">
        <v>192</v>
      </c>
      <c r="H298" s="26">
        <v>35</v>
      </c>
      <c r="I298" s="24">
        <f t="shared" si="12"/>
        <v>46164</v>
      </c>
      <c r="J298" s="26">
        <f t="shared" ca="1" si="13"/>
        <v>-140</v>
      </c>
      <c r="K298" s="26" t="str">
        <f t="shared" ca="1" si="14"/>
        <v/>
      </c>
      <c r="L298" s="27" t="s">
        <v>1567</v>
      </c>
      <c r="M298" s="26" t="str">
        <f ca="1">IF(L298&lt;&gt;"","Entregado",IF(NOT(ISNUMBER(IF(Q298&lt;&gt;"",Q298,I298))),"REVISAR TE",IF(AND(ISNUMBER(Resumen!$B$3),IF(Q298&lt;&gt;"",Q298,I298)&lt;Resumen!$B$3),"REVISAR",IF(IF(Q298&lt;&gt;"",Q298,I298)&lt;TODAY(),"ATRASADO",IF(IF(Q298&lt;&gt;"",Q298,I298)-TODAY()&lt;=2,"POR VENCER","EN TIEMPO")))))</f>
        <v>Entregado</v>
      </c>
      <c r="N298" s="23" t="s">
        <v>245</v>
      </c>
      <c r="P298" s="23" t="s">
        <v>618</v>
      </c>
      <c r="Q298" s="28"/>
    </row>
    <row r="299" spans="1:17" ht="16.5" hidden="1" x14ac:dyDescent="0.3">
      <c r="A299" s="23" t="s">
        <v>616</v>
      </c>
      <c r="B299" s="23" t="s">
        <v>52</v>
      </c>
      <c r="C299" s="23" t="s">
        <v>619</v>
      </c>
      <c r="D299" s="24">
        <v>46129</v>
      </c>
      <c r="E299" s="25">
        <v>1</v>
      </c>
      <c r="F299" s="24">
        <v>46129</v>
      </c>
      <c r="G299" s="23" t="s">
        <v>192</v>
      </c>
      <c r="H299" s="26">
        <v>35</v>
      </c>
      <c r="I299" s="24">
        <f t="shared" si="12"/>
        <v>46164</v>
      </c>
      <c r="J299" s="26">
        <f t="shared" ca="1" si="13"/>
        <v>-140</v>
      </c>
      <c r="K299" s="26" t="str">
        <f t="shared" ca="1" si="14"/>
        <v/>
      </c>
      <c r="L299" s="27" t="s">
        <v>1567</v>
      </c>
      <c r="M299" s="26" t="str">
        <f ca="1">IF(L299&lt;&gt;"","Entregado",IF(NOT(ISNUMBER(IF(Q299&lt;&gt;"",Q299,I299))),"REVISAR TE",IF(AND(ISNUMBER(Resumen!$B$3),IF(Q299&lt;&gt;"",Q299,I299)&lt;Resumen!$B$3),"REVISAR",IF(IF(Q299&lt;&gt;"",Q299,I299)&lt;TODAY(),"ATRASADO",IF(IF(Q299&lt;&gt;"",Q299,I299)-TODAY()&lt;=2,"POR VENCER","EN TIEMPO")))))</f>
        <v>Entregado</v>
      </c>
      <c r="N299" s="23" t="s">
        <v>245</v>
      </c>
      <c r="P299" s="23" t="s">
        <v>618</v>
      </c>
      <c r="Q299" s="28"/>
    </row>
    <row r="300" spans="1:17" ht="16.5" hidden="1" x14ac:dyDescent="0.3">
      <c r="A300" s="23" t="s">
        <v>616</v>
      </c>
      <c r="B300" s="23" t="s">
        <v>52</v>
      </c>
      <c r="C300" s="23" t="s">
        <v>620</v>
      </c>
      <c r="D300" s="24">
        <v>46129</v>
      </c>
      <c r="E300" s="25">
        <v>1</v>
      </c>
      <c r="F300" s="24">
        <v>46129</v>
      </c>
      <c r="G300" s="23" t="s">
        <v>192</v>
      </c>
      <c r="H300" s="26">
        <v>35</v>
      </c>
      <c r="I300" s="24">
        <f t="shared" si="12"/>
        <v>46164</v>
      </c>
      <c r="J300" s="26">
        <f t="shared" ca="1" si="13"/>
        <v>-140</v>
      </c>
      <c r="K300" s="26" t="str">
        <f t="shared" ca="1" si="14"/>
        <v/>
      </c>
      <c r="L300" s="27" t="s">
        <v>1567</v>
      </c>
      <c r="M300" s="26" t="str">
        <f ca="1">IF(L300&lt;&gt;"","Entregado",IF(NOT(ISNUMBER(IF(Q300&lt;&gt;"",Q300,I300))),"REVISAR TE",IF(AND(ISNUMBER(Resumen!$B$3),IF(Q300&lt;&gt;"",Q300,I300)&lt;Resumen!$B$3),"REVISAR",IF(IF(Q300&lt;&gt;"",Q300,I300)&lt;TODAY(),"ATRASADO",IF(IF(Q300&lt;&gt;"",Q300,I300)-TODAY()&lt;=2,"POR VENCER","EN TIEMPO")))))</f>
        <v>Entregado</v>
      </c>
      <c r="N300" s="23" t="s">
        <v>245</v>
      </c>
      <c r="P300" s="23" t="s">
        <v>618</v>
      </c>
      <c r="Q300" s="28"/>
    </row>
    <row r="301" spans="1:17" ht="16.5" hidden="1" x14ac:dyDescent="0.3">
      <c r="A301" s="23" t="s">
        <v>616</v>
      </c>
      <c r="B301" s="23" t="s">
        <v>52</v>
      </c>
      <c r="C301" s="23" t="s">
        <v>621</v>
      </c>
      <c r="D301" s="24">
        <v>46129</v>
      </c>
      <c r="E301" s="25">
        <v>1</v>
      </c>
      <c r="F301" s="24">
        <v>46129</v>
      </c>
      <c r="G301" s="23" t="s">
        <v>192</v>
      </c>
      <c r="H301" s="26">
        <v>35</v>
      </c>
      <c r="I301" s="24">
        <f t="shared" si="12"/>
        <v>46164</v>
      </c>
      <c r="J301" s="26">
        <f t="shared" ca="1" si="13"/>
        <v>-140</v>
      </c>
      <c r="K301" s="26" t="str">
        <f t="shared" ca="1" si="14"/>
        <v/>
      </c>
      <c r="L301" s="27" t="s">
        <v>1567</v>
      </c>
      <c r="M301" s="26" t="str">
        <f ca="1">IF(L301&lt;&gt;"","Entregado",IF(NOT(ISNUMBER(IF(Q301&lt;&gt;"",Q301,I301))),"REVISAR TE",IF(AND(ISNUMBER(Resumen!$B$3),IF(Q301&lt;&gt;"",Q301,I301)&lt;Resumen!$B$3),"REVISAR",IF(IF(Q301&lt;&gt;"",Q301,I301)&lt;TODAY(),"ATRASADO",IF(IF(Q301&lt;&gt;"",Q301,I301)-TODAY()&lt;=2,"POR VENCER","EN TIEMPO")))))</f>
        <v>Entregado</v>
      </c>
      <c r="N301" s="23" t="s">
        <v>245</v>
      </c>
      <c r="P301" s="23" t="s">
        <v>618</v>
      </c>
      <c r="Q301" s="28"/>
    </row>
    <row r="302" spans="1:17" ht="16.5" hidden="1" x14ac:dyDescent="0.3">
      <c r="A302" s="23" t="s">
        <v>616</v>
      </c>
      <c r="B302" s="23" t="s">
        <v>52</v>
      </c>
      <c r="C302" s="23" t="s">
        <v>622</v>
      </c>
      <c r="D302" s="24">
        <v>46129</v>
      </c>
      <c r="E302" s="25">
        <v>1</v>
      </c>
      <c r="F302" s="24">
        <v>46129</v>
      </c>
      <c r="G302" s="23" t="s">
        <v>192</v>
      </c>
      <c r="H302" s="26">
        <v>35</v>
      </c>
      <c r="I302" s="24">
        <f t="shared" si="12"/>
        <v>46164</v>
      </c>
      <c r="J302" s="26">
        <f t="shared" ca="1" si="13"/>
        <v>-140</v>
      </c>
      <c r="K302" s="26" t="str">
        <f t="shared" ca="1" si="14"/>
        <v/>
      </c>
      <c r="L302" s="27" t="s">
        <v>1567</v>
      </c>
      <c r="M302" s="26" t="str">
        <f ca="1">IF(L302&lt;&gt;"","Entregado",IF(NOT(ISNUMBER(IF(Q302&lt;&gt;"",Q302,I302))),"REVISAR TE",IF(AND(ISNUMBER(Resumen!$B$3),IF(Q302&lt;&gt;"",Q302,I302)&lt;Resumen!$B$3),"REVISAR",IF(IF(Q302&lt;&gt;"",Q302,I302)&lt;TODAY(),"ATRASADO",IF(IF(Q302&lt;&gt;"",Q302,I302)-TODAY()&lt;=2,"POR VENCER","EN TIEMPO")))))</f>
        <v>Entregado</v>
      </c>
      <c r="N302" s="23" t="s">
        <v>245</v>
      </c>
      <c r="P302" s="23" t="s">
        <v>618</v>
      </c>
      <c r="Q302" s="28"/>
    </row>
    <row r="303" spans="1:17" ht="16.5" hidden="1" x14ac:dyDescent="0.3">
      <c r="A303" s="23" t="s">
        <v>623</v>
      </c>
      <c r="B303" s="23" t="s">
        <v>61</v>
      </c>
      <c r="C303" s="23" t="s">
        <v>624</v>
      </c>
      <c r="D303" s="24">
        <v>46132</v>
      </c>
      <c r="E303" s="25">
        <v>25</v>
      </c>
      <c r="F303" s="24">
        <v>46132</v>
      </c>
      <c r="G303" s="23"/>
      <c r="H303" s="26"/>
      <c r="I303" s="24" t="str">
        <f t="shared" si="12"/>
        <v/>
      </c>
      <c r="J303" s="26" t="e">
        <f t="shared" ca="1" si="13"/>
        <v>#VALUE!</v>
      </c>
      <c r="K303" s="26" t="str">
        <f t="shared" ca="1" si="14"/>
        <v/>
      </c>
      <c r="L303" s="27" t="s">
        <v>1567</v>
      </c>
      <c r="M303" s="26" t="str">
        <f ca="1">IF(L303&lt;&gt;"","Entregado",IF(NOT(ISNUMBER(IF(Q303&lt;&gt;"",Q303,I303))),"REVISAR TE",IF(AND(ISNUMBER(Resumen!$B$3),IF(Q303&lt;&gt;"",Q303,I303)&lt;Resumen!$B$3),"REVISAR",IF(IF(Q303&lt;&gt;"",Q303,I303)&lt;TODAY(),"ATRASADO",IF(IF(Q303&lt;&gt;"",Q303,I303)-TODAY()&lt;=2,"POR VENCER","EN TIEMPO")))))</f>
        <v>Entregado</v>
      </c>
      <c r="N303" s="23" t="s">
        <v>98</v>
      </c>
      <c r="P303" s="23" t="s">
        <v>625</v>
      </c>
      <c r="Q303" s="28"/>
    </row>
    <row r="304" spans="1:17" ht="16.5" hidden="1" x14ac:dyDescent="0.3">
      <c r="A304" s="23" t="s">
        <v>623</v>
      </c>
      <c r="B304" s="23" t="s">
        <v>61</v>
      </c>
      <c r="C304" s="23" t="s">
        <v>626</v>
      </c>
      <c r="D304" s="24">
        <v>46132</v>
      </c>
      <c r="E304" s="25">
        <v>2</v>
      </c>
      <c r="F304" s="24">
        <v>46132</v>
      </c>
      <c r="G304" s="23"/>
      <c r="H304" s="26"/>
      <c r="I304" s="24" t="str">
        <f t="shared" si="12"/>
        <v/>
      </c>
      <c r="J304" s="26" t="e">
        <f t="shared" ca="1" si="13"/>
        <v>#VALUE!</v>
      </c>
      <c r="K304" s="26" t="str">
        <f t="shared" ca="1" si="14"/>
        <v/>
      </c>
      <c r="L304" s="27" t="s">
        <v>1567</v>
      </c>
      <c r="M304" s="26" t="str">
        <f ca="1">IF(L304&lt;&gt;"","Entregado",IF(NOT(ISNUMBER(IF(Q304&lt;&gt;"",Q304,I304))),"REVISAR TE",IF(AND(ISNUMBER(Resumen!$B$3),IF(Q304&lt;&gt;"",Q304,I304)&lt;Resumen!$B$3),"REVISAR",IF(IF(Q304&lt;&gt;"",Q304,I304)&lt;TODAY(),"ATRASADO",IF(IF(Q304&lt;&gt;"",Q304,I304)-TODAY()&lt;=2,"POR VENCER","EN TIEMPO")))))</f>
        <v>Entregado</v>
      </c>
      <c r="N304" s="23" t="s">
        <v>431</v>
      </c>
      <c r="P304" s="23" t="s">
        <v>625</v>
      </c>
      <c r="Q304" s="28"/>
    </row>
    <row r="305" spans="1:17" ht="16.5" hidden="1" x14ac:dyDescent="0.3">
      <c r="A305" s="23" t="s">
        <v>627</v>
      </c>
      <c r="B305" s="23" t="s">
        <v>61</v>
      </c>
      <c r="C305" s="23" t="s">
        <v>628</v>
      </c>
      <c r="D305" s="24">
        <v>46132</v>
      </c>
      <c r="E305" s="25">
        <v>5</v>
      </c>
      <c r="F305" s="24">
        <v>46132</v>
      </c>
      <c r="G305" s="23"/>
      <c r="H305" s="26"/>
      <c r="I305" s="24" t="str">
        <f t="shared" si="12"/>
        <v/>
      </c>
      <c r="J305" s="26" t="e">
        <f t="shared" ca="1" si="13"/>
        <v>#VALUE!</v>
      </c>
      <c r="K305" s="26" t="str">
        <f t="shared" ca="1" si="14"/>
        <v/>
      </c>
      <c r="L305" s="27" t="s">
        <v>1567</v>
      </c>
      <c r="M305" s="26" t="str">
        <f ca="1">IF(L305&lt;&gt;"","Entregado",IF(NOT(ISNUMBER(IF(Q305&lt;&gt;"",Q305,I305))),"REVISAR TE",IF(AND(ISNUMBER(Resumen!$B$3),IF(Q305&lt;&gt;"",Q305,I305)&lt;Resumen!$B$3),"REVISAR",IF(IF(Q305&lt;&gt;"",Q305,I305)&lt;TODAY(),"ATRASADO",IF(IF(Q305&lt;&gt;"",Q305,I305)-TODAY()&lt;=2,"POR VENCER","EN TIEMPO")))))</f>
        <v>Entregado</v>
      </c>
      <c r="N305" s="23" t="s">
        <v>98</v>
      </c>
      <c r="P305" s="23" t="s">
        <v>629</v>
      </c>
      <c r="Q305" s="28"/>
    </row>
    <row r="306" spans="1:17" ht="16.5" hidden="1" x14ac:dyDescent="0.3">
      <c r="A306" s="23" t="s">
        <v>630</v>
      </c>
      <c r="B306" s="23" t="s">
        <v>54</v>
      </c>
      <c r="C306" s="23" t="s">
        <v>631</v>
      </c>
      <c r="D306" s="24">
        <v>46132</v>
      </c>
      <c r="E306" s="25">
        <v>1</v>
      </c>
      <c r="F306" s="24">
        <v>46132</v>
      </c>
      <c r="G306" s="23" t="s">
        <v>171</v>
      </c>
      <c r="H306" s="26">
        <v>7</v>
      </c>
      <c r="I306" s="24">
        <f t="shared" si="12"/>
        <v>46139</v>
      </c>
      <c r="J306" s="26">
        <f t="shared" ca="1" si="13"/>
        <v>-165</v>
      </c>
      <c r="K306" s="26" t="str">
        <f t="shared" ca="1" si="14"/>
        <v/>
      </c>
      <c r="L306" s="27" t="s">
        <v>1567</v>
      </c>
      <c r="M306" s="26" t="str">
        <f ca="1">IF(L306&lt;&gt;"","Entregado",IF(NOT(ISNUMBER(IF(Q306&lt;&gt;"",Q306,I306))),"REVISAR TE",IF(AND(ISNUMBER(Resumen!$B$3),IF(Q306&lt;&gt;"",Q306,I306)&lt;Resumen!$B$3),"REVISAR",IF(IF(Q306&lt;&gt;"",Q306,I306)&lt;TODAY(),"ATRASADO",IF(IF(Q306&lt;&gt;"",Q306,I306)-TODAY()&lt;=2,"POR VENCER","EN TIEMPO")))))</f>
        <v>Entregado</v>
      </c>
      <c r="N306" s="23" t="s">
        <v>511</v>
      </c>
      <c r="P306" s="23" t="s">
        <v>632</v>
      </c>
      <c r="Q306" s="28"/>
    </row>
    <row r="307" spans="1:17" ht="16.5" hidden="1" x14ac:dyDescent="0.3">
      <c r="A307" s="23" t="s">
        <v>633</v>
      </c>
      <c r="B307" s="23"/>
      <c r="C307" s="23" t="s">
        <v>634</v>
      </c>
      <c r="D307" s="24">
        <v>46133</v>
      </c>
      <c r="E307" s="25">
        <v>18</v>
      </c>
      <c r="F307" s="24">
        <v>46133</v>
      </c>
      <c r="G307" s="23" t="s">
        <v>137</v>
      </c>
      <c r="H307" s="26">
        <v>28</v>
      </c>
      <c r="I307" s="24">
        <f t="shared" si="12"/>
        <v>46161</v>
      </c>
      <c r="J307" s="26">
        <f t="shared" ca="1" si="13"/>
        <v>-143</v>
      </c>
      <c r="K307" s="26" t="str">
        <f t="shared" ca="1" si="14"/>
        <v/>
      </c>
      <c r="L307" s="27" t="s">
        <v>1567</v>
      </c>
      <c r="M307" s="26" t="str">
        <f ca="1">IF(L307&lt;&gt;"","Entregado",IF(NOT(ISNUMBER(IF(Q307&lt;&gt;"",Q307,I307))),"REVISAR TE",IF(AND(ISNUMBER(Resumen!$B$3),IF(Q307&lt;&gt;"",Q307,I307)&lt;Resumen!$B$3),"REVISAR",IF(IF(Q307&lt;&gt;"",Q307,I307)&lt;TODAY(),"ATRASADO",IF(IF(Q307&lt;&gt;"",Q307,I307)-TODAY()&lt;=2,"POR VENCER","EN TIEMPO")))))</f>
        <v>Entregado</v>
      </c>
      <c r="N307" s="23" t="s">
        <v>94</v>
      </c>
      <c r="P307" s="23" t="s">
        <v>635</v>
      </c>
      <c r="Q307" s="28"/>
    </row>
    <row r="308" spans="1:17" ht="16.5" hidden="1" x14ac:dyDescent="0.3">
      <c r="A308" s="23" t="s">
        <v>636</v>
      </c>
      <c r="B308" s="23" t="s">
        <v>52</v>
      </c>
      <c r="C308" s="23" t="s">
        <v>637</v>
      </c>
      <c r="D308" s="24">
        <v>46133</v>
      </c>
      <c r="E308" s="25">
        <v>1</v>
      </c>
      <c r="F308" s="24">
        <v>46133</v>
      </c>
      <c r="G308" s="23" t="s">
        <v>274</v>
      </c>
      <c r="H308" s="26">
        <v>42</v>
      </c>
      <c r="I308" s="24">
        <f t="shared" si="12"/>
        <v>46175</v>
      </c>
      <c r="J308" s="26">
        <f t="shared" ca="1" si="13"/>
        <v>-129</v>
      </c>
      <c r="K308" s="26" t="str">
        <f t="shared" ca="1" si="14"/>
        <v/>
      </c>
      <c r="L308" s="27" t="s">
        <v>1567</v>
      </c>
      <c r="M308" s="26" t="str">
        <f ca="1">IF(L308&lt;&gt;"","Entregado",IF(NOT(ISNUMBER(IF(Q308&lt;&gt;"",Q308,I308))),"REVISAR TE",IF(AND(ISNUMBER(Resumen!$B$3),IF(Q308&lt;&gt;"",Q308,I308)&lt;Resumen!$B$3),"REVISAR",IF(IF(Q308&lt;&gt;"",Q308,I308)&lt;TODAY(),"ATRASADO",IF(IF(Q308&lt;&gt;"",Q308,I308)-TODAY()&lt;=2,"POR VENCER","EN TIEMPO")))))</f>
        <v>Entregado</v>
      </c>
      <c r="N308" s="23" t="s">
        <v>245</v>
      </c>
      <c r="P308" s="23" t="s">
        <v>638</v>
      </c>
      <c r="Q308" s="28"/>
    </row>
    <row r="309" spans="1:17" ht="16.5" hidden="1" x14ac:dyDescent="0.3">
      <c r="A309" s="23" t="s">
        <v>639</v>
      </c>
      <c r="B309" s="23" t="s">
        <v>52</v>
      </c>
      <c r="C309" s="23" t="s">
        <v>640</v>
      </c>
      <c r="D309" s="24">
        <v>46133</v>
      </c>
      <c r="E309" s="25">
        <v>1</v>
      </c>
      <c r="F309" s="24">
        <v>46133</v>
      </c>
      <c r="G309" s="23" t="s">
        <v>192</v>
      </c>
      <c r="H309" s="26">
        <v>35</v>
      </c>
      <c r="I309" s="24">
        <f t="shared" si="12"/>
        <v>46168</v>
      </c>
      <c r="J309" s="26">
        <f t="shared" ca="1" si="13"/>
        <v>-136</v>
      </c>
      <c r="K309" s="26" t="str">
        <f t="shared" ca="1" si="14"/>
        <v/>
      </c>
      <c r="L309" s="27" t="s">
        <v>1567</v>
      </c>
      <c r="M309" s="26" t="str">
        <f ca="1">IF(L309&lt;&gt;"","Entregado",IF(NOT(ISNUMBER(IF(Q309&lt;&gt;"",Q309,I309))),"REVISAR TE",IF(AND(ISNUMBER(Resumen!$B$3),IF(Q309&lt;&gt;"",Q309,I309)&lt;Resumen!$B$3),"REVISAR",IF(IF(Q309&lt;&gt;"",Q309,I309)&lt;TODAY(),"ATRASADO",IF(IF(Q309&lt;&gt;"",Q309,I309)-TODAY()&lt;=2,"POR VENCER","EN TIEMPO")))))</f>
        <v>Entregado</v>
      </c>
      <c r="N309" s="23" t="s">
        <v>245</v>
      </c>
      <c r="P309" s="23" t="s">
        <v>641</v>
      </c>
      <c r="Q309" s="28"/>
    </row>
    <row r="310" spans="1:17" ht="16.5" hidden="1" x14ac:dyDescent="0.3">
      <c r="A310" s="23" t="s">
        <v>642</v>
      </c>
      <c r="B310" s="23"/>
      <c r="C310" s="23" t="s">
        <v>644</v>
      </c>
      <c r="D310" s="24">
        <v>46133</v>
      </c>
      <c r="E310" s="25">
        <v>5</v>
      </c>
      <c r="F310" s="24">
        <v>46133</v>
      </c>
      <c r="G310" s="23" t="s">
        <v>643</v>
      </c>
      <c r="H310" s="26">
        <v>42</v>
      </c>
      <c r="I310" s="24">
        <f t="shared" si="12"/>
        <v>46175</v>
      </c>
      <c r="J310" s="26">
        <f t="shared" ca="1" si="13"/>
        <v>-129</v>
      </c>
      <c r="K310" s="26" t="str">
        <f t="shared" ca="1" si="14"/>
        <v/>
      </c>
      <c r="L310" s="27" t="s">
        <v>1567</v>
      </c>
      <c r="M310" s="26" t="str">
        <f ca="1">IF(L310&lt;&gt;"","Entregado",IF(NOT(ISNUMBER(IF(Q310&lt;&gt;"",Q310,I310))),"REVISAR TE",IF(AND(ISNUMBER(Resumen!$B$3),IF(Q310&lt;&gt;"",Q310,I310)&lt;Resumen!$B$3),"REVISAR",IF(IF(Q310&lt;&gt;"",Q310,I310)&lt;TODAY(),"ATRASADO",IF(IF(Q310&lt;&gt;"",Q310,I310)-TODAY()&lt;=2,"POR VENCER","EN TIEMPO")))))</f>
        <v>Entregado</v>
      </c>
      <c r="N310" s="23" t="s">
        <v>98</v>
      </c>
      <c r="P310" s="23" t="s">
        <v>645</v>
      </c>
      <c r="Q310" s="28"/>
    </row>
    <row r="311" spans="1:17" ht="16.5" hidden="1" x14ac:dyDescent="0.3">
      <c r="A311" s="23" t="s">
        <v>642</v>
      </c>
      <c r="B311" s="23"/>
      <c r="C311" s="23" t="s">
        <v>646</v>
      </c>
      <c r="D311" s="24">
        <v>46133</v>
      </c>
      <c r="E311" s="25">
        <v>18</v>
      </c>
      <c r="F311" s="24">
        <v>46133</v>
      </c>
      <c r="G311" s="23" t="s">
        <v>643</v>
      </c>
      <c r="H311" s="26">
        <v>42</v>
      </c>
      <c r="I311" s="24">
        <f t="shared" si="12"/>
        <v>46175</v>
      </c>
      <c r="J311" s="26">
        <f t="shared" ca="1" si="13"/>
        <v>-129</v>
      </c>
      <c r="K311" s="26" t="str">
        <f t="shared" ca="1" si="14"/>
        <v/>
      </c>
      <c r="L311" s="27" t="s">
        <v>1567</v>
      </c>
      <c r="M311" s="26" t="str">
        <f ca="1">IF(L311&lt;&gt;"","Entregado",IF(NOT(ISNUMBER(IF(Q311&lt;&gt;"",Q311,I311))),"REVISAR TE",IF(AND(ISNUMBER(Resumen!$B$3),IF(Q311&lt;&gt;"",Q311,I311)&lt;Resumen!$B$3),"REVISAR",IF(IF(Q311&lt;&gt;"",Q311,I311)&lt;TODAY(),"ATRASADO",IF(IF(Q311&lt;&gt;"",Q311,I311)-TODAY()&lt;=2,"POR VENCER","EN TIEMPO")))))</f>
        <v>Entregado</v>
      </c>
      <c r="N311" s="23" t="s">
        <v>94</v>
      </c>
      <c r="P311" s="23" t="s">
        <v>645</v>
      </c>
      <c r="Q311" s="28"/>
    </row>
    <row r="312" spans="1:17" ht="16.5" hidden="1" x14ac:dyDescent="0.3">
      <c r="A312" s="23" t="s">
        <v>642</v>
      </c>
      <c r="B312" s="23"/>
      <c r="C312" s="23" t="s">
        <v>647</v>
      </c>
      <c r="D312" s="24">
        <v>46133</v>
      </c>
      <c r="E312" s="25">
        <v>8</v>
      </c>
      <c r="F312" s="24">
        <v>46133</v>
      </c>
      <c r="G312" s="23" t="s">
        <v>643</v>
      </c>
      <c r="H312" s="26">
        <v>42</v>
      </c>
      <c r="I312" s="24">
        <f t="shared" si="12"/>
        <v>46175</v>
      </c>
      <c r="J312" s="26">
        <f t="shared" ca="1" si="13"/>
        <v>-129</v>
      </c>
      <c r="K312" s="26" t="str">
        <f t="shared" ca="1" si="14"/>
        <v/>
      </c>
      <c r="L312" s="27" t="s">
        <v>1567</v>
      </c>
      <c r="M312" s="26" t="str">
        <f ca="1">IF(L312&lt;&gt;"","Entregado",IF(NOT(ISNUMBER(IF(Q312&lt;&gt;"",Q312,I312))),"REVISAR TE",IF(AND(ISNUMBER(Resumen!$B$3),IF(Q312&lt;&gt;"",Q312,I312)&lt;Resumen!$B$3),"REVISAR",IF(IF(Q312&lt;&gt;"",Q312,I312)&lt;TODAY(),"ATRASADO",IF(IF(Q312&lt;&gt;"",Q312,I312)-TODAY()&lt;=2,"POR VENCER","EN TIEMPO")))))</f>
        <v>Entregado</v>
      </c>
      <c r="N312" s="23" t="s">
        <v>94</v>
      </c>
      <c r="P312" s="23" t="s">
        <v>645</v>
      </c>
      <c r="Q312" s="28"/>
    </row>
    <row r="313" spans="1:17" ht="16.5" hidden="1" x14ac:dyDescent="0.3">
      <c r="A313" s="23" t="s">
        <v>642</v>
      </c>
      <c r="B313" s="23"/>
      <c r="C313" s="23" t="s">
        <v>648</v>
      </c>
      <c r="D313" s="24">
        <v>46133</v>
      </c>
      <c r="E313" s="25">
        <v>5</v>
      </c>
      <c r="F313" s="24">
        <v>46133</v>
      </c>
      <c r="G313" s="23" t="s">
        <v>643</v>
      </c>
      <c r="H313" s="26">
        <v>42</v>
      </c>
      <c r="I313" s="24">
        <f t="shared" si="12"/>
        <v>46175</v>
      </c>
      <c r="J313" s="26">
        <f t="shared" ca="1" si="13"/>
        <v>-129</v>
      </c>
      <c r="K313" s="26" t="str">
        <f t="shared" ca="1" si="14"/>
        <v/>
      </c>
      <c r="L313" s="27" t="s">
        <v>1567</v>
      </c>
      <c r="M313" s="26" t="str">
        <f ca="1">IF(L313&lt;&gt;"","Entregado",IF(NOT(ISNUMBER(IF(Q313&lt;&gt;"",Q313,I313))),"REVISAR TE",IF(AND(ISNUMBER(Resumen!$B$3),IF(Q313&lt;&gt;"",Q313,I313)&lt;Resumen!$B$3),"REVISAR",IF(IF(Q313&lt;&gt;"",Q313,I313)&lt;TODAY(),"ATRASADO",IF(IF(Q313&lt;&gt;"",Q313,I313)-TODAY()&lt;=2,"POR VENCER","EN TIEMPO")))))</f>
        <v>Entregado</v>
      </c>
      <c r="N313" s="23" t="s">
        <v>94</v>
      </c>
      <c r="P313" s="23" t="s">
        <v>645</v>
      </c>
      <c r="Q313" s="28"/>
    </row>
    <row r="314" spans="1:17" ht="16.5" hidden="1" x14ac:dyDescent="0.3">
      <c r="A314" s="23" t="s">
        <v>642</v>
      </c>
      <c r="B314" s="23"/>
      <c r="C314" s="23" t="s">
        <v>649</v>
      </c>
      <c r="D314" s="24">
        <v>46133</v>
      </c>
      <c r="E314" s="25">
        <v>35</v>
      </c>
      <c r="F314" s="24">
        <v>46133</v>
      </c>
      <c r="G314" s="23" t="s">
        <v>643</v>
      </c>
      <c r="H314" s="26">
        <v>42</v>
      </c>
      <c r="I314" s="24">
        <f t="shared" si="12"/>
        <v>46175</v>
      </c>
      <c r="J314" s="26">
        <f t="shared" ca="1" si="13"/>
        <v>-129</v>
      </c>
      <c r="K314" s="26" t="str">
        <f t="shared" ca="1" si="14"/>
        <v/>
      </c>
      <c r="L314" s="27" t="s">
        <v>1567</v>
      </c>
      <c r="M314" s="26" t="str">
        <f ca="1">IF(L314&lt;&gt;"","Entregado",IF(NOT(ISNUMBER(IF(Q314&lt;&gt;"",Q314,I314))),"REVISAR TE",IF(AND(ISNUMBER(Resumen!$B$3),IF(Q314&lt;&gt;"",Q314,I314)&lt;Resumen!$B$3),"REVISAR",IF(IF(Q314&lt;&gt;"",Q314,I314)&lt;TODAY(),"ATRASADO",IF(IF(Q314&lt;&gt;"",Q314,I314)-TODAY()&lt;=2,"POR VENCER","EN TIEMPO")))))</f>
        <v>Entregado</v>
      </c>
      <c r="N314" s="23" t="s">
        <v>94</v>
      </c>
      <c r="P314" s="23" t="s">
        <v>645</v>
      </c>
      <c r="Q314" s="28"/>
    </row>
    <row r="315" spans="1:17" ht="16.5" hidden="1" x14ac:dyDescent="0.3">
      <c r="A315" s="23" t="s">
        <v>642</v>
      </c>
      <c r="B315" s="23"/>
      <c r="C315" s="23" t="s">
        <v>650</v>
      </c>
      <c r="D315" s="24">
        <v>46133</v>
      </c>
      <c r="E315" s="25">
        <v>30</v>
      </c>
      <c r="F315" s="24">
        <v>46133</v>
      </c>
      <c r="G315" s="23" t="s">
        <v>643</v>
      </c>
      <c r="H315" s="26">
        <v>42</v>
      </c>
      <c r="I315" s="24">
        <f t="shared" si="12"/>
        <v>46175</v>
      </c>
      <c r="J315" s="26">
        <f t="shared" ca="1" si="13"/>
        <v>-129</v>
      </c>
      <c r="K315" s="26" t="str">
        <f t="shared" ca="1" si="14"/>
        <v/>
      </c>
      <c r="L315" s="27" t="s">
        <v>1567</v>
      </c>
      <c r="M315" s="26" t="str">
        <f ca="1">IF(L315&lt;&gt;"","Entregado",IF(NOT(ISNUMBER(IF(Q315&lt;&gt;"",Q315,I315))),"REVISAR TE",IF(AND(ISNUMBER(Resumen!$B$3),IF(Q315&lt;&gt;"",Q315,I315)&lt;Resumen!$B$3),"REVISAR",IF(IF(Q315&lt;&gt;"",Q315,I315)&lt;TODAY(),"ATRASADO",IF(IF(Q315&lt;&gt;"",Q315,I315)-TODAY()&lt;=2,"POR VENCER","EN TIEMPO")))))</f>
        <v>Entregado</v>
      </c>
      <c r="N315" s="23" t="s">
        <v>94</v>
      </c>
      <c r="P315" s="23" t="s">
        <v>645</v>
      </c>
      <c r="Q315" s="28"/>
    </row>
    <row r="316" spans="1:17" ht="16.5" hidden="1" x14ac:dyDescent="0.3">
      <c r="A316" s="23" t="s">
        <v>642</v>
      </c>
      <c r="B316" s="23"/>
      <c r="C316" s="23" t="s">
        <v>651</v>
      </c>
      <c r="D316" s="24">
        <v>46133</v>
      </c>
      <c r="E316" s="25">
        <v>30</v>
      </c>
      <c r="F316" s="24">
        <v>46133</v>
      </c>
      <c r="G316" s="23" t="s">
        <v>643</v>
      </c>
      <c r="H316" s="26">
        <v>42</v>
      </c>
      <c r="I316" s="24">
        <f t="shared" si="12"/>
        <v>46175</v>
      </c>
      <c r="J316" s="26">
        <f t="shared" ca="1" si="13"/>
        <v>-129</v>
      </c>
      <c r="K316" s="26" t="str">
        <f t="shared" ca="1" si="14"/>
        <v/>
      </c>
      <c r="L316" s="27" t="s">
        <v>1567</v>
      </c>
      <c r="M316" s="26" t="str">
        <f ca="1">IF(L316&lt;&gt;"","Entregado",IF(NOT(ISNUMBER(IF(Q316&lt;&gt;"",Q316,I316))),"REVISAR TE",IF(AND(ISNUMBER(Resumen!$B$3),IF(Q316&lt;&gt;"",Q316,I316)&lt;Resumen!$B$3),"REVISAR",IF(IF(Q316&lt;&gt;"",Q316,I316)&lt;TODAY(),"ATRASADO",IF(IF(Q316&lt;&gt;"",Q316,I316)-TODAY()&lt;=2,"POR VENCER","EN TIEMPO")))))</f>
        <v>Entregado</v>
      </c>
      <c r="N316" s="23" t="s">
        <v>94</v>
      </c>
      <c r="P316" s="23" t="s">
        <v>645</v>
      </c>
      <c r="Q316" s="28"/>
    </row>
    <row r="317" spans="1:17" ht="16.5" hidden="1" x14ac:dyDescent="0.3">
      <c r="A317" s="23" t="s">
        <v>642</v>
      </c>
      <c r="B317" s="23"/>
      <c r="C317" s="23" t="s">
        <v>652</v>
      </c>
      <c r="D317" s="24">
        <v>46133</v>
      </c>
      <c r="E317" s="25">
        <v>7</v>
      </c>
      <c r="F317" s="24">
        <v>46133</v>
      </c>
      <c r="G317" s="23" t="s">
        <v>643</v>
      </c>
      <c r="H317" s="26">
        <v>42</v>
      </c>
      <c r="I317" s="24">
        <f t="shared" si="12"/>
        <v>46175</v>
      </c>
      <c r="J317" s="26">
        <f t="shared" ca="1" si="13"/>
        <v>-129</v>
      </c>
      <c r="K317" s="26" t="str">
        <f t="shared" ca="1" si="14"/>
        <v/>
      </c>
      <c r="L317" s="27" t="s">
        <v>1567</v>
      </c>
      <c r="M317" s="26" t="str">
        <f ca="1">IF(L317&lt;&gt;"","Entregado",IF(NOT(ISNUMBER(IF(Q317&lt;&gt;"",Q317,I317))),"REVISAR TE",IF(AND(ISNUMBER(Resumen!$B$3),IF(Q317&lt;&gt;"",Q317,I317)&lt;Resumen!$B$3),"REVISAR",IF(IF(Q317&lt;&gt;"",Q317,I317)&lt;TODAY(),"ATRASADO",IF(IF(Q317&lt;&gt;"",Q317,I317)-TODAY()&lt;=2,"POR VENCER","EN TIEMPO")))))</f>
        <v>Entregado</v>
      </c>
      <c r="N317" s="23" t="s">
        <v>94</v>
      </c>
      <c r="P317" s="23" t="s">
        <v>645</v>
      </c>
      <c r="Q317" s="28"/>
    </row>
    <row r="318" spans="1:17" ht="16.5" hidden="1" x14ac:dyDescent="0.3">
      <c r="A318" s="23" t="s">
        <v>642</v>
      </c>
      <c r="B318" s="23"/>
      <c r="C318" s="23" t="s">
        <v>653</v>
      </c>
      <c r="D318" s="24">
        <v>46133</v>
      </c>
      <c r="E318" s="25">
        <v>25</v>
      </c>
      <c r="F318" s="24">
        <v>46133</v>
      </c>
      <c r="G318" s="23" t="s">
        <v>643</v>
      </c>
      <c r="H318" s="26">
        <v>42</v>
      </c>
      <c r="I318" s="24">
        <f t="shared" si="12"/>
        <v>46175</v>
      </c>
      <c r="J318" s="26">
        <f t="shared" ca="1" si="13"/>
        <v>-129</v>
      </c>
      <c r="K318" s="26" t="str">
        <f t="shared" ca="1" si="14"/>
        <v/>
      </c>
      <c r="L318" s="27" t="s">
        <v>1567</v>
      </c>
      <c r="M318" s="26" t="str">
        <f ca="1">IF(L318&lt;&gt;"","Entregado",IF(NOT(ISNUMBER(IF(Q318&lt;&gt;"",Q318,I318))),"REVISAR TE",IF(AND(ISNUMBER(Resumen!$B$3),IF(Q318&lt;&gt;"",Q318,I318)&lt;Resumen!$B$3),"REVISAR",IF(IF(Q318&lt;&gt;"",Q318,I318)&lt;TODAY(),"ATRASADO",IF(IF(Q318&lt;&gt;"",Q318,I318)-TODAY()&lt;=2,"POR VENCER","EN TIEMPO")))))</f>
        <v>Entregado</v>
      </c>
      <c r="N318" s="23" t="s">
        <v>98</v>
      </c>
      <c r="P318" s="23" t="s">
        <v>645</v>
      </c>
      <c r="Q318" s="28"/>
    </row>
    <row r="319" spans="1:17" ht="16.5" hidden="1" x14ac:dyDescent="0.3">
      <c r="A319" s="23" t="s">
        <v>654</v>
      </c>
      <c r="B319" s="23" t="s">
        <v>56</v>
      </c>
      <c r="C319" s="23" t="s">
        <v>655</v>
      </c>
      <c r="D319" s="24">
        <v>46133</v>
      </c>
      <c r="E319" s="25">
        <v>1</v>
      </c>
      <c r="F319" s="24">
        <v>46133</v>
      </c>
      <c r="G319" s="23" t="s">
        <v>83</v>
      </c>
      <c r="H319" s="26">
        <v>21</v>
      </c>
      <c r="I319" s="24">
        <f t="shared" si="12"/>
        <v>46154</v>
      </c>
      <c r="J319" s="26">
        <f t="shared" ca="1" si="13"/>
        <v>-150</v>
      </c>
      <c r="K319" s="26" t="str">
        <f t="shared" ca="1" si="14"/>
        <v/>
      </c>
      <c r="L319" s="27" t="s">
        <v>1567</v>
      </c>
      <c r="M319" s="26" t="str">
        <f ca="1">IF(L319&lt;&gt;"","Entregado",IF(NOT(ISNUMBER(IF(Q319&lt;&gt;"",Q319,I319))),"REVISAR TE",IF(AND(ISNUMBER(Resumen!$B$3),IF(Q319&lt;&gt;"",Q319,I319)&lt;Resumen!$B$3),"REVISAR",IF(IF(Q319&lt;&gt;"",Q319,I319)&lt;TODAY(),"ATRASADO",IF(IF(Q319&lt;&gt;"",Q319,I319)-TODAY()&lt;=2,"POR VENCER","EN TIEMPO")))))</f>
        <v>Entregado</v>
      </c>
      <c r="N319" s="23" t="s">
        <v>84</v>
      </c>
      <c r="P319" s="23" t="s">
        <v>656</v>
      </c>
      <c r="Q319" s="28"/>
    </row>
    <row r="320" spans="1:17" ht="16.5" hidden="1" x14ac:dyDescent="0.3">
      <c r="A320" s="23" t="s">
        <v>654</v>
      </c>
      <c r="B320" s="23" t="s">
        <v>56</v>
      </c>
      <c r="C320" s="23" t="s">
        <v>85</v>
      </c>
      <c r="D320" s="24">
        <v>46133</v>
      </c>
      <c r="E320" s="25">
        <v>1</v>
      </c>
      <c r="F320" s="24">
        <v>46133</v>
      </c>
      <c r="G320" s="23" t="s">
        <v>83</v>
      </c>
      <c r="H320" s="26">
        <v>21</v>
      </c>
      <c r="I320" s="24">
        <f t="shared" si="12"/>
        <v>46154</v>
      </c>
      <c r="J320" s="26">
        <f t="shared" ca="1" si="13"/>
        <v>-150</v>
      </c>
      <c r="K320" s="26" t="str">
        <f t="shared" ca="1" si="14"/>
        <v/>
      </c>
      <c r="L320" s="27" t="s">
        <v>1567</v>
      </c>
      <c r="M320" s="26" t="str">
        <f ca="1">IF(L320&lt;&gt;"","Entregado",IF(NOT(ISNUMBER(IF(Q320&lt;&gt;"",Q320,I320))),"REVISAR TE",IF(AND(ISNUMBER(Resumen!$B$3),IF(Q320&lt;&gt;"",Q320,I320)&lt;Resumen!$B$3),"REVISAR",IF(IF(Q320&lt;&gt;"",Q320,I320)&lt;TODAY(),"ATRASADO",IF(IF(Q320&lt;&gt;"",Q320,I320)-TODAY()&lt;=2,"POR VENCER","EN TIEMPO")))))</f>
        <v>Entregado</v>
      </c>
      <c r="N320" s="23" t="s">
        <v>84</v>
      </c>
      <c r="P320" s="23" t="s">
        <v>656</v>
      </c>
      <c r="Q320" s="28"/>
    </row>
    <row r="321" spans="1:17" ht="16.5" hidden="1" x14ac:dyDescent="0.3">
      <c r="A321" s="23" t="s">
        <v>657</v>
      </c>
      <c r="B321" s="23" t="s">
        <v>69</v>
      </c>
      <c r="C321" s="23" t="s">
        <v>660</v>
      </c>
      <c r="D321" s="24">
        <v>46134</v>
      </c>
      <c r="E321" s="25">
        <v>1</v>
      </c>
      <c r="F321" s="24">
        <v>46134</v>
      </c>
      <c r="G321" s="23" t="s">
        <v>658</v>
      </c>
      <c r="H321" s="26">
        <v>2</v>
      </c>
      <c r="I321" s="24">
        <f t="shared" si="12"/>
        <v>46136</v>
      </c>
      <c r="J321" s="26">
        <f t="shared" ca="1" si="13"/>
        <v>-168</v>
      </c>
      <c r="K321" s="26" t="str">
        <f t="shared" ca="1" si="14"/>
        <v/>
      </c>
      <c r="L321" s="27" t="s">
        <v>1567</v>
      </c>
      <c r="M321" s="26" t="str">
        <f ca="1">IF(L321&lt;&gt;"","Entregado",IF(NOT(ISNUMBER(IF(Q321&lt;&gt;"",Q321,I321))),"REVISAR TE",IF(AND(ISNUMBER(Resumen!$B$3),IF(Q321&lt;&gt;"",Q321,I321)&lt;Resumen!$B$3),"REVISAR",IF(IF(Q321&lt;&gt;"",Q321,I321)&lt;TODAY(),"ATRASADO",IF(IF(Q321&lt;&gt;"",Q321,I321)-TODAY()&lt;=2,"POR VENCER","EN TIEMPO")))))</f>
        <v>Entregado</v>
      </c>
      <c r="N321" s="23" t="s">
        <v>659</v>
      </c>
      <c r="P321" s="23" t="s">
        <v>661</v>
      </c>
      <c r="Q321" s="28"/>
    </row>
    <row r="322" spans="1:17" ht="16.5" hidden="1" x14ac:dyDescent="0.3">
      <c r="A322" s="23" t="s">
        <v>662</v>
      </c>
      <c r="B322" s="23" t="s">
        <v>57</v>
      </c>
      <c r="C322" s="23" t="s">
        <v>663</v>
      </c>
      <c r="D322" s="24">
        <v>46134</v>
      </c>
      <c r="E322" s="25">
        <v>69</v>
      </c>
      <c r="F322" s="24">
        <v>46134</v>
      </c>
      <c r="G322" s="23" t="s">
        <v>204</v>
      </c>
      <c r="H322" s="26">
        <v>42</v>
      </c>
      <c r="I322" s="24">
        <f t="shared" ref="I322:I385" si="15">IF(AND(D322&lt;&gt;"",H322&lt;&gt;""),D322+H322,"")</f>
        <v>46176</v>
      </c>
      <c r="J322" s="26">
        <f t="shared" ref="J322:J385" ca="1" si="16">I322-TODAY()</f>
        <v>-128</v>
      </c>
      <c r="K322" s="26" t="str">
        <f t="shared" ref="K322:K385" ca="1" si="17">IF(AND(L322="",ISNUMBER(IF(Q322&lt;&gt;"",Q322,I322))),IF(IF(Q322&lt;&gt;"",Q322,I322)&lt;TODAY(),TODAY()-IF(Q322&lt;&gt;"",Q322,I322),""),"")</f>
        <v/>
      </c>
      <c r="L322" s="27" t="s">
        <v>1567</v>
      </c>
      <c r="M322" s="26" t="str">
        <f ca="1">IF(L322&lt;&gt;"","Entregado",IF(NOT(ISNUMBER(IF(Q322&lt;&gt;"",Q322,I322))),"REVISAR TE",IF(AND(ISNUMBER(Resumen!$B$3),IF(Q322&lt;&gt;"",Q322,I322)&lt;Resumen!$B$3),"REVISAR",IF(IF(Q322&lt;&gt;"",Q322,I322)&lt;TODAY(),"ATRASADO",IF(IF(Q322&lt;&gt;"",Q322,I322)-TODAY()&lt;=2,"POR VENCER","EN TIEMPO")))))</f>
        <v>Entregado</v>
      </c>
      <c r="N322" s="23" t="s">
        <v>94</v>
      </c>
      <c r="P322" s="23" t="s">
        <v>664</v>
      </c>
      <c r="Q322" s="28"/>
    </row>
    <row r="323" spans="1:17" ht="16.5" hidden="1" x14ac:dyDescent="0.3">
      <c r="A323" s="23" t="s">
        <v>665</v>
      </c>
      <c r="B323" s="23" t="s">
        <v>55</v>
      </c>
      <c r="C323" s="23" t="s">
        <v>666</v>
      </c>
      <c r="D323" s="24">
        <v>46136</v>
      </c>
      <c r="E323" s="25">
        <v>21</v>
      </c>
      <c r="F323" s="24">
        <v>46136</v>
      </c>
      <c r="G323" s="23" t="s">
        <v>156</v>
      </c>
      <c r="H323" s="26">
        <v>21</v>
      </c>
      <c r="I323" s="24">
        <f t="shared" si="15"/>
        <v>46157</v>
      </c>
      <c r="J323" s="26">
        <f t="shared" ca="1" si="16"/>
        <v>-147</v>
      </c>
      <c r="K323" s="26" t="str">
        <f t="shared" ca="1" si="17"/>
        <v/>
      </c>
      <c r="L323" s="27" t="s">
        <v>1567</v>
      </c>
      <c r="M323" s="26" t="str">
        <f ca="1">IF(L323&lt;&gt;"","Entregado",IF(NOT(ISNUMBER(IF(Q323&lt;&gt;"",Q323,I323))),"REVISAR TE",IF(AND(ISNUMBER(Resumen!$B$3),IF(Q323&lt;&gt;"",Q323,I323)&lt;Resumen!$B$3),"REVISAR",IF(IF(Q323&lt;&gt;"",Q323,I323)&lt;TODAY(),"ATRASADO",IF(IF(Q323&lt;&gt;"",Q323,I323)-TODAY()&lt;=2,"POR VENCER","EN TIEMPO")))))</f>
        <v>Entregado</v>
      </c>
      <c r="N323" s="23" t="s">
        <v>98</v>
      </c>
      <c r="P323" s="23" t="s">
        <v>667</v>
      </c>
      <c r="Q323" s="28"/>
    </row>
    <row r="324" spans="1:17" ht="16.5" hidden="1" x14ac:dyDescent="0.3">
      <c r="A324" s="23" t="s">
        <v>665</v>
      </c>
      <c r="B324" s="23" t="s">
        <v>55</v>
      </c>
      <c r="C324" s="23" t="s">
        <v>668</v>
      </c>
      <c r="D324" s="24">
        <v>46136</v>
      </c>
      <c r="E324" s="25">
        <v>2</v>
      </c>
      <c r="F324" s="24">
        <v>46136</v>
      </c>
      <c r="G324" s="23" t="s">
        <v>156</v>
      </c>
      <c r="H324" s="26">
        <v>21</v>
      </c>
      <c r="I324" s="24">
        <f t="shared" si="15"/>
        <v>46157</v>
      </c>
      <c r="J324" s="26">
        <f t="shared" ca="1" si="16"/>
        <v>-147</v>
      </c>
      <c r="K324" s="26" t="str">
        <f t="shared" ca="1" si="17"/>
        <v/>
      </c>
      <c r="L324" s="27" t="s">
        <v>1567</v>
      </c>
      <c r="M324" s="26" t="str">
        <f ca="1">IF(L324&lt;&gt;"","Entregado",IF(NOT(ISNUMBER(IF(Q324&lt;&gt;"",Q324,I324))),"REVISAR TE",IF(AND(ISNUMBER(Resumen!$B$3),IF(Q324&lt;&gt;"",Q324,I324)&lt;Resumen!$B$3),"REVISAR",IF(IF(Q324&lt;&gt;"",Q324,I324)&lt;TODAY(),"ATRASADO",IF(IF(Q324&lt;&gt;"",Q324,I324)-TODAY()&lt;=2,"POR VENCER","EN TIEMPO")))))</f>
        <v>Entregado</v>
      </c>
      <c r="N324" s="23" t="s">
        <v>98</v>
      </c>
      <c r="P324" s="23" t="s">
        <v>667</v>
      </c>
      <c r="Q324" s="28"/>
    </row>
    <row r="325" spans="1:17" ht="16.5" hidden="1" x14ac:dyDescent="0.3">
      <c r="A325" s="23" t="s">
        <v>665</v>
      </c>
      <c r="B325" s="23" t="s">
        <v>55</v>
      </c>
      <c r="C325" s="23" t="s">
        <v>669</v>
      </c>
      <c r="D325" s="24">
        <v>46136</v>
      </c>
      <c r="E325" s="25">
        <v>2</v>
      </c>
      <c r="F325" s="24">
        <v>46136</v>
      </c>
      <c r="G325" s="23" t="s">
        <v>156</v>
      </c>
      <c r="H325" s="26">
        <v>21</v>
      </c>
      <c r="I325" s="24">
        <f t="shared" si="15"/>
        <v>46157</v>
      </c>
      <c r="J325" s="26">
        <f t="shared" ca="1" si="16"/>
        <v>-147</v>
      </c>
      <c r="K325" s="26" t="str">
        <f t="shared" ca="1" si="17"/>
        <v/>
      </c>
      <c r="L325" s="27" t="s">
        <v>1567</v>
      </c>
      <c r="M325" s="26" t="str">
        <f ca="1">IF(L325&lt;&gt;"","Entregado",IF(NOT(ISNUMBER(IF(Q325&lt;&gt;"",Q325,I325))),"REVISAR TE",IF(AND(ISNUMBER(Resumen!$B$3),IF(Q325&lt;&gt;"",Q325,I325)&lt;Resumen!$B$3),"REVISAR",IF(IF(Q325&lt;&gt;"",Q325,I325)&lt;TODAY(),"ATRASADO",IF(IF(Q325&lt;&gt;"",Q325,I325)-TODAY()&lt;=2,"POR VENCER","EN TIEMPO")))))</f>
        <v>Entregado</v>
      </c>
      <c r="N325" s="23" t="s">
        <v>98</v>
      </c>
      <c r="P325" s="23" t="s">
        <v>667</v>
      </c>
      <c r="Q325" s="28"/>
    </row>
    <row r="326" spans="1:17" ht="16.5" hidden="1" x14ac:dyDescent="0.3">
      <c r="A326" s="23" t="s">
        <v>665</v>
      </c>
      <c r="B326" s="23" t="s">
        <v>55</v>
      </c>
      <c r="C326" s="23" t="s">
        <v>670</v>
      </c>
      <c r="D326" s="24">
        <v>46136</v>
      </c>
      <c r="E326" s="25">
        <v>1</v>
      </c>
      <c r="F326" s="24">
        <v>46136</v>
      </c>
      <c r="G326" s="23" t="s">
        <v>156</v>
      </c>
      <c r="H326" s="26">
        <v>21</v>
      </c>
      <c r="I326" s="24">
        <f t="shared" si="15"/>
        <v>46157</v>
      </c>
      <c r="J326" s="26">
        <f t="shared" ca="1" si="16"/>
        <v>-147</v>
      </c>
      <c r="K326" s="26" t="str">
        <f t="shared" ca="1" si="17"/>
        <v/>
      </c>
      <c r="L326" s="27" t="s">
        <v>1567</v>
      </c>
      <c r="M326" s="26" t="str">
        <f ca="1">IF(L326&lt;&gt;"","Entregado",IF(NOT(ISNUMBER(IF(Q326&lt;&gt;"",Q326,I326))),"REVISAR TE",IF(AND(ISNUMBER(Resumen!$B$3),IF(Q326&lt;&gt;"",Q326,I326)&lt;Resumen!$B$3),"REVISAR",IF(IF(Q326&lt;&gt;"",Q326,I326)&lt;TODAY(),"ATRASADO",IF(IF(Q326&lt;&gt;"",Q326,I326)-TODAY()&lt;=2,"POR VENCER","EN TIEMPO")))))</f>
        <v>Entregado</v>
      </c>
      <c r="N326" s="23" t="s">
        <v>98</v>
      </c>
      <c r="P326" s="23" t="s">
        <v>667</v>
      </c>
      <c r="Q326" s="28"/>
    </row>
    <row r="327" spans="1:17" ht="16.5" hidden="1" x14ac:dyDescent="0.3">
      <c r="A327" s="23" t="s">
        <v>671</v>
      </c>
      <c r="B327" s="23" t="s">
        <v>58</v>
      </c>
      <c r="C327" s="23" t="s">
        <v>673</v>
      </c>
      <c r="D327" s="24">
        <v>46136</v>
      </c>
      <c r="E327" s="25">
        <v>1</v>
      </c>
      <c r="F327" s="24">
        <v>46136</v>
      </c>
      <c r="G327" s="23" t="s">
        <v>180</v>
      </c>
      <c r="H327" s="26">
        <v>14</v>
      </c>
      <c r="I327" s="24">
        <f t="shared" si="15"/>
        <v>46150</v>
      </c>
      <c r="J327" s="26">
        <f t="shared" ca="1" si="16"/>
        <v>-154</v>
      </c>
      <c r="K327" s="26" t="str">
        <f t="shared" ca="1" si="17"/>
        <v/>
      </c>
      <c r="L327" s="27" t="s">
        <v>1567</v>
      </c>
      <c r="M327" s="26" t="str">
        <f ca="1">IF(L327&lt;&gt;"","Entregado",IF(NOT(ISNUMBER(IF(Q327&lt;&gt;"",Q327,I327))),"REVISAR TE",IF(AND(ISNUMBER(Resumen!$B$3),IF(Q327&lt;&gt;"",Q327,I327)&lt;Resumen!$B$3),"REVISAR",IF(IF(Q327&lt;&gt;"",Q327,I327)&lt;TODAY(),"ATRASADO",IF(IF(Q327&lt;&gt;"",Q327,I327)-TODAY()&lt;=2,"POR VENCER","EN TIEMPO")))))</f>
        <v>Entregado</v>
      </c>
      <c r="N327" s="23" t="s">
        <v>672</v>
      </c>
      <c r="P327" s="23" t="s">
        <v>674</v>
      </c>
      <c r="Q327" s="28"/>
    </row>
    <row r="328" spans="1:17" ht="16.5" hidden="1" x14ac:dyDescent="0.3">
      <c r="A328" s="23" t="s">
        <v>675</v>
      </c>
      <c r="B328" s="23" t="s">
        <v>58</v>
      </c>
      <c r="C328" s="23" t="s">
        <v>677</v>
      </c>
      <c r="D328" s="24">
        <v>46136</v>
      </c>
      <c r="E328" s="25">
        <v>1</v>
      </c>
      <c r="F328" s="24">
        <v>46136</v>
      </c>
      <c r="G328" s="23" t="s">
        <v>676</v>
      </c>
      <c r="H328" s="26">
        <v>14</v>
      </c>
      <c r="I328" s="24">
        <f t="shared" si="15"/>
        <v>46150</v>
      </c>
      <c r="J328" s="26">
        <f t="shared" ca="1" si="16"/>
        <v>-154</v>
      </c>
      <c r="K328" s="26" t="str">
        <f t="shared" ca="1" si="17"/>
        <v/>
      </c>
      <c r="L328" s="27" t="s">
        <v>1567</v>
      </c>
      <c r="M328" s="26" t="str">
        <f ca="1">IF(L328&lt;&gt;"","Entregado",IF(NOT(ISNUMBER(IF(Q328&lt;&gt;"",Q328,I328))),"REVISAR TE",IF(AND(ISNUMBER(Resumen!$B$3),IF(Q328&lt;&gt;"",Q328,I328)&lt;Resumen!$B$3),"REVISAR",IF(IF(Q328&lt;&gt;"",Q328,I328)&lt;TODAY(),"ATRASADO",IF(IF(Q328&lt;&gt;"",Q328,I328)-TODAY()&lt;=2,"POR VENCER","EN TIEMPO")))))</f>
        <v>Entregado</v>
      </c>
      <c r="N328" s="23" t="s">
        <v>431</v>
      </c>
      <c r="P328" s="23" t="s">
        <v>678</v>
      </c>
      <c r="Q328" s="28"/>
    </row>
    <row r="329" spans="1:17" ht="16.5" hidden="1" x14ac:dyDescent="0.3">
      <c r="A329" s="23" t="s">
        <v>675</v>
      </c>
      <c r="B329" s="23" t="s">
        <v>58</v>
      </c>
      <c r="C329" s="23" t="s">
        <v>679</v>
      </c>
      <c r="D329" s="24">
        <v>46136</v>
      </c>
      <c r="E329" s="25">
        <v>1</v>
      </c>
      <c r="F329" s="24">
        <v>46136</v>
      </c>
      <c r="G329" s="23" t="s">
        <v>676</v>
      </c>
      <c r="H329" s="26">
        <v>14</v>
      </c>
      <c r="I329" s="24">
        <f t="shared" si="15"/>
        <v>46150</v>
      </c>
      <c r="J329" s="26">
        <f t="shared" ca="1" si="16"/>
        <v>-154</v>
      </c>
      <c r="K329" s="26" t="str">
        <f t="shared" ca="1" si="17"/>
        <v/>
      </c>
      <c r="L329" s="27" t="s">
        <v>1567</v>
      </c>
      <c r="M329" s="26" t="str">
        <f ca="1">IF(L329&lt;&gt;"","Entregado",IF(NOT(ISNUMBER(IF(Q329&lt;&gt;"",Q329,I329))),"REVISAR TE",IF(AND(ISNUMBER(Resumen!$B$3),IF(Q329&lt;&gt;"",Q329,I329)&lt;Resumen!$B$3),"REVISAR",IF(IF(Q329&lt;&gt;"",Q329,I329)&lt;TODAY(),"ATRASADO",IF(IF(Q329&lt;&gt;"",Q329,I329)-TODAY()&lt;=2,"POR VENCER","EN TIEMPO")))))</f>
        <v>Entregado</v>
      </c>
      <c r="N329" s="23" t="s">
        <v>672</v>
      </c>
      <c r="P329" s="23" t="s">
        <v>678</v>
      </c>
      <c r="Q329" s="28"/>
    </row>
    <row r="330" spans="1:17" ht="16.5" hidden="1" x14ac:dyDescent="0.3">
      <c r="A330" s="23" t="s">
        <v>680</v>
      </c>
      <c r="B330" s="23" t="s">
        <v>58</v>
      </c>
      <c r="C330" s="23" t="s">
        <v>681</v>
      </c>
      <c r="D330" s="24">
        <v>46136</v>
      </c>
      <c r="E330" s="25">
        <v>2</v>
      </c>
      <c r="F330" s="24">
        <v>46136</v>
      </c>
      <c r="G330" s="23" t="s">
        <v>128</v>
      </c>
      <c r="H330" s="26">
        <v>5</v>
      </c>
      <c r="I330" s="24">
        <f t="shared" si="15"/>
        <v>46141</v>
      </c>
      <c r="J330" s="26">
        <f t="shared" ca="1" si="16"/>
        <v>-163</v>
      </c>
      <c r="K330" s="26" t="str">
        <f t="shared" ca="1" si="17"/>
        <v/>
      </c>
      <c r="L330" s="27" t="s">
        <v>1567</v>
      </c>
      <c r="M330" s="26" t="str">
        <f ca="1">IF(L330&lt;&gt;"","Entregado",IF(NOT(ISNUMBER(IF(Q330&lt;&gt;"",Q330,I330))),"REVISAR TE",IF(AND(ISNUMBER(Resumen!$B$3),IF(Q330&lt;&gt;"",Q330,I330)&lt;Resumen!$B$3),"REVISAR",IF(IF(Q330&lt;&gt;"",Q330,I330)&lt;TODAY(),"ATRASADO",IF(IF(Q330&lt;&gt;"",Q330,I330)-TODAY()&lt;=2,"POR VENCER","EN TIEMPO")))))</f>
        <v>Entregado</v>
      </c>
      <c r="N330" s="23" t="s">
        <v>431</v>
      </c>
      <c r="P330" s="23" t="s">
        <v>682</v>
      </c>
      <c r="Q330" s="28"/>
    </row>
    <row r="331" spans="1:17" ht="16.5" hidden="1" x14ac:dyDescent="0.3">
      <c r="A331" s="23" t="s">
        <v>683</v>
      </c>
      <c r="B331" s="23" t="s">
        <v>52</v>
      </c>
      <c r="C331" s="23" t="s">
        <v>570</v>
      </c>
      <c r="D331" s="24">
        <v>46137</v>
      </c>
      <c r="E331" s="25">
        <v>1</v>
      </c>
      <c r="F331" s="24">
        <v>46137</v>
      </c>
      <c r="G331" s="23" t="s">
        <v>180</v>
      </c>
      <c r="H331" s="26">
        <v>14</v>
      </c>
      <c r="I331" s="24">
        <f t="shared" si="15"/>
        <v>46151</v>
      </c>
      <c r="J331" s="26">
        <f t="shared" ca="1" si="16"/>
        <v>-153</v>
      </c>
      <c r="K331" s="26" t="str">
        <f t="shared" ca="1" si="17"/>
        <v/>
      </c>
      <c r="L331" s="27" t="s">
        <v>1567</v>
      </c>
      <c r="M331" s="26" t="str">
        <f ca="1">IF(L331&lt;&gt;"","Entregado",IF(NOT(ISNUMBER(IF(Q331&lt;&gt;"",Q331,I331))),"REVISAR TE",IF(AND(ISNUMBER(Resumen!$B$3),IF(Q331&lt;&gt;"",Q331,I331)&lt;Resumen!$B$3),"REVISAR",IF(IF(Q331&lt;&gt;"",Q331,I331)&lt;TODAY(),"ATRASADO",IF(IF(Q331&lt;&gt;"",Q331,I331)-TODAY()&lt;=2,"POR VENCER","EN TIEMPO")))))</f>
        <v>Entregado</v>
      </c>
      <c r="N331" s="23" t="s">
        <v>165</v>
      </c>
      <c r="P331" s="23" t="s">
        <v>684</v>
      </c>
      <c r="Q331" s="28"/>
    </row>
    <row r="332" spans="1:17" ht="16.5" hidden="1" x14ac:dyDescent="0.3">
      <c r="A332" s="23" t="s">
        <v>685</v>
      </c>
      <c r="B332" s="23" t="s">
        <v>52</v>
      </c>
      <c r="C332" s="23" t="s">
        <v>686</v>
      </c>
      <c r="D332" s="24">
        <v>46137</v>
      </c>
      <c r="E332" s="25">
        <v>1</v>
      </c>
      <c r="F332" s="24">
        <v>46137</v>
      </c>
      <c r="G332" s="23" t="s">
        <v>196</v>
      </c>
      <c r="H332" s="26">
        <v>10</v>
      </c>
      <c r="I332" s="24">
        <f t="shared" si="15"/>
        <v>46147</v>
      </c>
      <c r="J332" s="26">
        <f t="shared" ca="1" si="16"/>
        <v>-157</v>
      </c>
      <c r="K332" s="26" t="str">
        <f t="shared" ca="1" si="17"/>
        <v/>
      </c>
      <c r="L332" s="27" t="s">
        <v>1567</v>
      </c>
      <c r="M332" s="26" t="str">
        <f ca="1">IF(L332&lt;&gt;"","Entregado",IF(NOT(ISNUMBER(IF(Q332&lt;&gt;"",Q332,I332))),"REVISAR TE",IF(AND(ISNUMBER(Resumen!$B$3),IF(Q332&lt;&gt;"",Q332,I332)&lt;Resumen!$B$3),"REVISAR",IF(IF(Q332&lt;&gt;"",Q332,I332)&lt;TODAY(),"ATRASADO",IF(IF(Q332&lt;&gt;"",Q332,I332)-TODAY()&lt;=2,"POR VENCER","EN TIEMPO")))))</f>
        <v>Entregado</v>
      </c>
      <c r="N332" s="23" t="s">
        <v>475</v>
      </c>
      <c r="P332" s="23" t="s">
        <v>687</v>
      </c>
      <c r="Q332" s="28"/>
    </row>
    <row r="333" spans="1:17" ht="16.5" hidden="1" x14ac:dyDescent="0.3">
      <c r="A333" s="23" t="s">
        <v>688</v>
      </c>
      <c r="B333" s="23" t="s">
        <v>52</v>
      </c>
      <c r="C333" s="23" t="s">
        <v>689</v>
      </c>
      <c r="D333" s="24">
        <v>46137</v>
      </c>
      <c r="E333" s="25">
        <v>1</v>
      </c>
      <c r="F333" s="24">
        <v>46137</v>
      </c>
      <c r="G333" s="23" t="s">
        <v>411</v>
      </c>
      <c r="H333" s="26">
        <v>3</v>
      </c>
      <c r="I333" s="24">
        <f t="shared" si="15"/>
        <v>46140</v>
      </c>
      <c r="J333" s="26">
        <f t="shared" ca="1" si="16"/>
        <v>-164</v>
      </c>
      <c r="K333" s="26" t="str">
        <f t="shared" ca="1" si="17"/>
        <v/>
      </c>
      <c r="L333" s="27" t="s">
        <v>1567</v>
      </c>
      <c r="M333" s="26" t="str">
        <f ca="1">IF(L333&lt;&gt;"","Entregado",IF(NOT(ISNUMBER(IF(Q333&lt;&gt;"",Q333,I333))),"REVISAR TE",IF(AND(ISNUMBER(Resumen!$B$3),IF(Q333&lt;&gt;"",Q333,I333)&lt;Resumen!$B$3),"REVISAR",IF(IF(Q333&lt;&gt;"",Q333,I333)&lt;TODAY(),"ATRASADO",IF(IF(Q333&lt;&gt;"",Q333,I333)-TODAY()&lt;=2,"POR VENCER","EN TIEMPO")))))</f>
        <v>Entregado</v>
      </c>
      <c r="N333" s="23" t="s">
        <v>511</v>
      </c>
      <c r="P333" s="23" t="s">
        <v>690</v>
      </c>
      <c r="Q333" s="28"/>
    </row>
    <row r="334" spans="1:17" ht="16.5" hidden="1" x14ac:dyDescent="0.3">
      <c r="A334" s="23" t="s">
        <v>688</v>
      </c>
      <c r="B334" s="23" t="s">
        <v>52</v>
      </c>
      <c r="C334" s="23" t="s">
        <v>691</v>
      </c>
      <c r="D334" s="24">
        <v>46137</v>
      </c>
      <c r="E334" s="25">
        <v>1</v>
      </c>
      <c r="F334" s="24">
        <v>46137</v>
      </c>
      <c r="G334" s="23" t="s">
        <v>411</v>
      </c>
      <c r="H334" s="26">
        <v>3</v>
      </c>
      <c r="I334" s="24">
        <f t="shared" si="15"/>
        <v>46140</v>
      </c>
      <c r="J334" s="26">
        <f t="shared" ca="1" si="16"/>
        <v>-164</v>
      </c>
      <c r="K334" s="26" t="str">
        <f t="shared" ca="1" si="17"/>
        <v/>
      </c>
      <c r="L334" s="27" t="s">
        <v>1567</v>
      </c>
      <c r="M334" s="26" t="str">
        <f ca="1">IF(L334&lt;&gt;"","Entregado",IF(NOT(ISNUMBER(IF(Q334&lt;&gt;"",Q334,I334))),"REVISAR TE",IF(AND(ISNUMBER(Resumen!$B$3),IF(Q334&lt;&gt;"",Q334,I334)&lt;Resumen!$B$3),"REVISAR",IF(IF(Q334&lt;&gt;"",Q334,I334)&lt;TODAY(),"ATRASADO",IF(IF(Q334&lt;&gt;"",Q334,I334)-TODAY()&lt;=2,"POR VENCER","EN TIEMPO")))))</f>
        <v>Entregado</v>
      </c>
      <c r="N334" s="23" t="s">
        <v>412</v>
      </c>
      <c r="P334" s="23" t="s">
        <v>690</v>
      </c>
      <c r="Q334" s="28"/>
    </row>
    <row r="335" spans="1:17" ht="16.5" hidden="1" x14ac:dyDescent="0.3">
      <c r="A335" s="23" t="s">
        <v>692</v>
      </c>
      <c r="B335" s="23" t="s">
        <v>55</v>
      </c>
      <c r="C335" s="23" t="s">
        <v>693</v>
      </c>
      <c r="D335" s="24">
        <v>46139</v>
      </c>
      <c r="E335" s="25">
        <v>4</v>
      </c>
      <c r="F335" s="24">
        <v>46139</v>
      </c>
      <c r="G335" s="23" t="s">
        <v>180</v>
      </c>
      <c r="H335" s="26">
        <v>14</v>
      </c>
      <c r="I335" s="24">
        <f t="shared" si="15"/>
        <v>46153</v>
      </c>
      <c r="J335" s="26">
        <f t="shared" ca="1" si="16"/>
        <v>-151</v>
      </c>
      <c r="K335" s="26" t="str">
        <f t="shared" ca="1" si="17"/>
        <v/>
      </c>
      <c r="L335" s="27" t="s">
        <v>1567</v>
      </c>
      <c r="M335" s="26" t="str">
        <f ca="1">IF(L335&lt;&gt;"","Entregado",IF(NOT(ISNUMBER(IF(Q335&lt;&gt;"",Q335,I335))),"REVISAR TE",IF(AND(ISNUMBER(Resumen!$B$3),IF(Q335&lt;&gt;"",Q335,I335)&lt;Resumen!$B$3),"REVISAR",IF(IF(Q335&lt;&gt;"",Q335,I335)&lt;TODAY(),"ATRASADO",IF(IF(Q335&lt;&gt;"",Q335,I335)-TODAY()&lt;=2,"POR VENCER","EN TIEMPO")))))</f>
        <v>Entregado</v>
      </c>
      <c r="N335" s="23" t="s">
        <v>98</v>
      </c>
      <c r="P335" s="23" t="s">
        <v>694</v>
      </c>
      <c r="Q335" s="28"/>
    </row>
    <row r="336" spans="1:17" ht="16.5" hidden="1" x14ac:dyDescent="0.3">
      <c r="A336" s="23" t="s">
        <v>692</v>
      </c>
      <c r="B336" s="23" t="s">
        <v>55</v>
      </c>
      <c r="C336" s="23" t="s">
        <v>695</v>
      </c>
      <c r="D336" s="24">
        <v>46139</v>
      </c>
      <c r="E336" s="25">
        <v>1</v>
      </c>
      <c r="F336" s="24">
        <v>46139</v>
      </c>
      <c r="G336" s="23" t="s">
        <v>180</v>
      </c>
      <c r="H336" s="26">
        <v>14</v>
      </c>
      <c r="I336" s="24">
        <f t="shared" si="15"/>
        <v>46153</v>
      </c>
      <c r="J336" s="26">
        <f t="shared" ca="1" si="16"/>
        <v>-151</v>
      </c>
      <c r="K336" s="26" t="str">
        <f t="shared" ca="1" si="17"/>
        <v/>
      </c>
      <c r="L336" s="27" t="s">
        <v>1567</v>
      </c>
      <c r="M336" s="26" t="str">
        <f ca="1">IF(L336&lt;&gt;"","Entregado",IF(NOT(ISNUMBER(IF(Q336&lt;&gt;"",Q336,I336))),"REVISAR TE",IF(AND(ISNUMBER(Resumen!$B$3),IF(Q336&lt;&gt;"",Q336,I336)&lt;Resumen!$B$3),"REVISAR",IF(IF(Q336&lt;&gt;"",Q336,I336)&lt;TODAY(),"ATRASADO",IF(IF(Q336&lt;&gt;"",Q336,I336)-TODAY()&lt;=2,"POR VENCER","EN TIEMPO")))))</f>
        <v>Entregado</v>
      </c>
      <c r="N336" s="23" t="s">
        <v>245</v>
      </c>
      <c r="P336" s="23" t="s">
        <v>694</v>
      </c>
      <c r="Q336" s="28"/>
    </row>
    <row r="337" spans="1:17" ht="16.5" hidden="1" x14ac:dyDescent="0.3">
      <c r="A337" s="23" t="s">
        <v>692</v>
      </c>
      <c r="B337" s="23" t="s">
        <v>55</v>
      </c>
      <c r="C337" s="23" t="s">
        <v>696</v>
      </c>
      <c r="D337" s="24">
        <v>46139</v>
      </c>
      <c r="E337" s="25">
        <v>1</v>
      </c>
      <c r="F337" s="24">
        <v>46139</v>
      </c>
      <c r="G337" s="23" t="s">
        <v>180</v>
      </c>
      <c r="H337" s="26">
        <v>14</v>
      </c>
      <c r="I337" s="24">
        <f t="shared" si="15"/>
        <v>46153</v>
      </c>
      <c r="J337" s="26">
        <f t="shared" ca="1" si="16"/>
        <v>-151</v>
      </c>
      <c r="K337" s="26" t="str">
        <f t="shared" ca="1" si="17"/>
        <v/>
      </c>
      <c r="L337" s="27" t="s">
        <v>1567</v>
      </c>
      <c r="M337" s="26" t="str">
        <f ca="1">IF(L337&lt;&gt;"","Entregado",IF(NOT(ISNUMBER(IF(Q337&lt;&gt;"",Q337,I337))),"REVISAR TE",IF(AND(ISNUMBER(Resumen!$B$3),IF(Q337&lt;&gt;"",Q337,I337)&lt;Resumen!$B$3),"REVISAR",IF(IF(Q337&lt;&gt;"",Q337,I337)&lt;TODAY(),"ATRASADO",IF(IF(Q337&lt;&gt;"",Q337,I337)-TODAY()&lt;=2,"POR VENCER","EN TIEMPO")))))</f>
        <v>Entregado</v>
      </c>
      <c r="N337" s="23" t="s">
        <v>245</v>
      </c>
      <c r="P337" s="23" t="s">
        <v>694</v>
      </c>
      <c r="Q337" s="28"/>
    </row>
    <row r="338" spans="1:17" ht="16.5" hidden="1" x14ac:dyDescent="0.3">
      <c r="A338" s="23" t="s">
        <v>692</v>
      </c>
      <c r="B338" s="23" t="s">
        <v>55</v>
      </c>
      <c r="C338" s="23" t="s">
        <v>697</v>
      </c>
      <c r="D338" s="24">
        <v>46139</v>
      </c>
      <c r="E338" s="25">
        <v>4</v>
      </c>
      <c r="F338" s="24">
        <v>46139</v>
      </c>
      <c r="G338" s="23" t="s">
        <v>180</v>
      </c>
      <c r="H338" s="26">
        <v>14</v>
      </c>
      <c r="I338" s="24">
        <f t="shared" si="15"/>
        <v>46153</v>
      </c>
      <c r="J338" s="26">
        <f t="shared" ca="1" si="16"/>
        <v>-151</v>
      </c>
      <c r="K338" s="26" t="str">
        <f t="shared" ca="1" si="17"/>
        <v/>
      </c>
      <c r="L338" s="27" t="s">
        <v>1567</v>
      </c>
      <c r="M338" s="26" t="str">
        <f ca="1">IF(L338&lt;&gt;"","Entregado",IF(NOT(ISNUMBER(IF(Q338&lt;&gt;"",Q338,I338))),"REVISAR TE",IF(AND(ISNUMBER(Resumen!$B$3),IF(Q338&lt;&gt;"",Q338,I338)&lt;Resumen!$B$3),"REVISAR",IF(IF(Q338&lt;&gt;"",Q338,I338)&lt;TODAY(),"ATRASADO",IF(IF(Q338&lt;&gt;"",Q338,I338)-TODAY()&lt;=2,"POR VENCER","EN TIEMPO")))))</f>
        <v>Entregado</v>
      </c>
      <c r="N338" s="23" t="s">
        <v>98</v>
      </c>
      <c r="P338" s="23" t="s">
        <v>694</v>
      </c>
      <c r="Q338" s="28"/>
    </row>
    <row r="339" spans="1:17" ht="16.5" hidden="1" x14ac:dyDescent="0.3">
      <c r="A339" s="23" t="s">
        <v>692</v>
      </c>
      <c r="B339" s="23" t="s">
        <v>55</v>
      </c>
      <c r="C339" s="23" t="s">
        <v>698</v>
      </c>
      <c r="D339" s="24">
        <v>46139</v>
      </c>
      <c r="E339" s="25">
        <v>1</v>
      </c>
      <c r="F339" s="24">
        <v>46139</v>
      </c>
      <c r="G339" s="23" t="s">
        <v>180</v>
      </c>
      <c r="H339" s="26">
        <v>14</v>
      </c>
      <c r="I339" s="24">
        <f t="shared" si="15"/>
        <v>46153</v>
      </c>
      <c r="J339" s="26">
        <f t="shared" ca="1" si="16"/>
        <v>-151</v>
      </c>
      <c r="K339" s="26" t="str">
        <f t="shared" ca="1" si="17"/>
        <v/>
      </c>
      <c r="L339" s="27" t="s">
        <v>1567</v>
      </c>
      <c r="M339" s="26" t="str">
        <f ca="1">IF(L339&lt;&gt;"","Entregado",IF(NOT(ISNUMBER(IF(Q339&lt;&gt;"",Q339,I339))),"REVISAR TE",IF(AND(ISNUMBER(Resumen!$B$3),IF(Q339&lt;&gt;"",Q339,I339)&lt;Resumen!$B$3),"REVISAR",IF(IF(Q339&lt;&gt;"",Q339,I339)&lt;TODAY(),"ATRASADO",IF(IF(Q339&lt;&gt;"",Q339,I339)-TODAY()&lt;=2,"POR VENCER","EN TIEMPO")))))</f>
        <v>Entregado</v>
      </c>
      <c r="N339" s="23" t="s">
        <v>245</v>
      </c>
      <c r="P339" s="23" t="s">
        <v>694</v>
      </c>
      <c r="Q339" s="28"/>
    </row>
    <row r="340" spans="1:17" ht="16.5" hidden="1" x14ac:dyDescent="0.3">
      <c r="A340" s="23" t="s">
        <v>692</v>
      </c>
      <c r="B340" s="23" t="s">
        <v>55</v>
      </c>
      <c r="C340" s="23" t="s">
        <v>699</v>
      </c>
      <c r="D340" s="24">
        <v>46139</v>
      </c>
      <c r="E340" s="25">
        <v>1</v>
      </c>
      <c r="F340" s="24">
        <v>46139</v>
      </c>
      <c r="G340" s="23" t="s">
        <v>180</v>
      </c>
      <c r="H340" s="26">
        <v>14</v>
      </c>
      <c r="I340" s="24">
        <f t="shared" si="15"/>
        <v>46153</v>
      </c>
      <c r="J340" s="26">
        <f t="shared" ca="1" si="16"/>
        <v>-151</v>
      </c>
      <c r="K340" s="26" t="str">
        <f t="shared" ca="1" si="17"/>
        <v/>
      </c>
      <c r="L340" s="27" t="s">
        <v>1567</v>
      </c>
      <c r="M340" s="26" t="str">
        <f ca="1">IF(L340&lt;&gt;"","Entregado",IF(NOT(ISNUMBER(IF(Q340&lt;&gt;"",Q340,I340))),"REVISAR TE",IF(AND(ISNUMBER(Resumen!$B$3),IF(Q340&lt;&gt;"",Q340,I340)&lt;Resumen!$B$3),"REVISAR",IF(IF(Q340&lt;&gt;"",Q340,I340)&lt;TODAY(),"ATRASADO",IF(IF(Q340&lt;&gt;"",Q340,I340)-TODAY()&lt;=2,"POR VENCER","EN TIEMPO")))))</f>
        <v>Entregado</v>
      </c>
      <c r="N340" s="23" t="s">
        <v>245</v>
      </c>
      <c r="P340" s="23" t="s">
        <v>694</v>
      </c>
      <c r="Q340" s="28"/>
    </row>
    <row r="341" spans="1:17" ht="16.5" hidden="1" x14ac:dyDescent="0.3">
      <c r="A341" s="23" t="s">
        <v>700</v>
      </c>
      <c r="B341" s="23" t="s">
        <v>52</v>
      </c>
      <c r="C341" s="23" t="s">
        <v>701</v>
      </c>
      <c r="D341" s="24">
        <v>46140</v>
      </c>
      <c r="E341" s="25">
        <v>1</v>
      </c>
      <c r="F341" s="24">
        <v>46140</v>
      </c>
      <c r="G341" s="23" t="s">
        <v>103</v>
      </c>
      <c r="H341" s="26">
        <v>35</v>
      </c>
      <c r="I341" s="24">
        <f t="shared" si="15"/>
        <v>46175</v>
      </c>
      <c r="J341" s="26">
        <f t="shared" ca="1" si="16"/>
        <v>-129</v>
      </c>
      <c r="K341" s="26" t="str">
        <f t="shared" ca="1" si="17"/>
        <v/>
      </c>
      <c r="L341" s="27" t="s">
        <v>1567</v>
      </c>
      <c r="M341" s="26" t="str">
        <f ca="1">IF(L341&lt;&gt;"","Entregado",IF(NOT(ISNUMBER(IF(Q341&lt;&gt;"",Q341,I341))),"REVISAR TE",IF(AND(ISNUMBER(Resumen!$B$3),IF(Q341&lt;&gt;"",Q341,I341)&lt;Resumen!$B$3),"REVISAR",IF(IF(Q341&lt;&gt;"",Q341,I341)&lt;TODAY(),"ATRASADO",IF(IF(Q341&lt;&gt;"",Q341,I341)-TODAY()&lt;=2,"POR VENCER","EN TIEMPO")))))</f>
        <v>Entregado</v>
      </c>
      <c r="N341" s="23" t="s">
        <v>245</v>
      </c>
      <c r="P341" s="23" t="s">
        <v>702</v>
      </c>
      <c r="Q341" s="28"/>
    </row>
    <row r="342" spans="1:17" ht="16.5" hidden="1" x14ac:dyDescent="0.3">
      <c r="A342" s="23" t="s">
        <v>703</v>
      </c>
      <c r="B342" s="23" t="s">
        <v>52</v>
      </c>
      <c r="C342" s="23" t="s">
        <v>704</v>
      </c>
      <c r="D342" s="24">
        <v>46142</v>
      </c>
      <c r="E342" s="25">
        <v>5</v>
      </c>
      <c r="F342" s="24">
        <v>46142</v>
      </c>
      <c r="G342" s="23" t="s">
        <v>658</v>
      </c>
      <c r="H342" s="26">
        <v>2</v>
      </c>
      <c r="I342" s="24">
        <f t="shared" si="15"/>
        <v>46144</v>
      </c>
      <c r="J342" s="26">
        <f t="shared" ca="1" si="16"/>
        <v>-160</v>
      </c>
      <c r="K342" s="26" t="str">
        <f t="shared" ca="1" si="17"/>
        <v/>
      </c>
      <c r="L342" s="27" t="s">
        <v>1567</v>
      </c>
      <c r="M342" s="26" t="str">
        <f ca="1">IF(L342&lt;&gt;"","Entregado",IF(NOT(ISNUMBER(IF(Q342&lt;&gt;"",Q342,I342))),"REVISAR TE",IF(AND(ISNUMBER(Resumen!$B$3),IF(Q342&lt;&gt;"",Q342,I342)&lt;Resumen!$B$3),"REVISAR",IF(IF(Q342&lt;&gt;"",Q342,I342)&lt;TODAY(),"ATRASADO",IF(IF(Q342&lt;&gt;"",Q342,I342)-TODAY()&lt;=2,"POR VENCER","EN TIEMPO")))))</f>
        <v>Entregado</v>
      </c>
      <c r="N342" s="23" t="s">
        <v>197</v>
      </c>
      <c r="P342" s="23" t="s">
        <v>705</v>
      </c>
      <c r="Q342" s="28"/>
    </row>
    <row r="343" spans="1:17" ht="16.5" hidden="1" x14ac:dyDescent="0.3">
      <c r="A343" s="23" t="s">
        <v>706</v>
      </c>
      <c r="B343" s="23" t="s">
        <v>54</v>
      </c>
      <c r="C343" s="23" t="s">
        <v>707</v>
      </c>
      <c r="D343" s="24">
        <v>46142</v>
      </c>
      <c r="E343" s="25">
        <v>1</v>
      </c>
      <c r="F343" s="24">
        <v>46142</v>
      </c>
      <c r="G343" s="23" t="s">
        <v>128</v>
      </c>
      <c r="H343" s="26">
        <v>5</v>
      </c>
      <c r="I343" s="24">
        <f t="shared" si="15"/>
        <v>46147</v>
      </c>
      <c r="J343" s="26">
        <f t="shared" ca="1" si="16"/>
        <v>-157</v>
      </c>
      <c r="K343" s="26" t="str">
        <f t="shared" ca="1" si="17"/>
        <v/>
      </c>
      <c r="L343" s="27" t="s">
        <v>1567</v>
      </c>
      <c r="M343" s="26" t="str">
        <f ca="1">IF(L343&lt;&gt;"","Entregado",IF(NOT(ISNUMBER(IF(Q343&lt;&gt;"",Q343,I343))),"REVISAR TE",IF(AND(ISNUMBER(Resumen!$B$3),IF(Q343&lt;&gt;"",Q343,I343)&lt;Resumen!$B$3),"REVISAR",IF(IF(Q343&lt;&gt;"",Q343,I343)&lt;TODAY(),"ATRASADO",IF(IF(Q343&lt;&gt;"",Q343,I343)-TODAY()&lt;=2,"POR VENCER","EN TIEMPO")))))</f>
        <v>Entregado</v>
      </c>
      <c r="N343" s="23" t="s">
        <v>216</v>
      </c>
      <c r="P343" s="23" t="s">
        <v>708</v>
      </c>
      <c r="Q343" s="28"/>
    </row>
    <row r="344" spans="1:17" ht="16.5" hidden="1" x14ac:dyDescent="0.3">
      <c r="A344" s="23" t="s">
        <v>706</v>
      </c>
      <c r="B344" s="23" t="s">
        <v>54</v>
      </c>
      <c r="C344" s="23" t="s">
        <v>709</v>
      </c>
      <c r="D344" s="24">
        <v>46142</v>
      </c>
      <c r="E344" s="25">
        <v>1</v>
      </c>
      <c r="F344" s="24">
        <v>46142</v>
      </c>
      <c r="G344" s="23" t="s">
        <v>128</v>
      </c>
      <c r="H344" s="26">
        <v>5</v>
      </c>
      <c r="I344" s="24">
        <f t="shared" si="15"/>
        <v>46147</v>
      </c>
      <c r="J344" s="26">
        <f t="shared" ca="1" si="16"/>
        <v>-157</v>
      </c>
      <c r="K344" s="26" t="str">
        <f t="shared" ca="1" si="17"/>
        <v/>
      </c>
      <c r="L344" s="27" t="s">
        <v>1567</v>
      </c>
      <c r="M344" s="26" t="str">
        <f ca="1">IF(L344&lt;&gt;"","Entregado",IF(NOT(ISNUMBER(IF(Q344&lt;&gt;"",Q344,I344))),"REVISAR TE",IF(AND(ISNUMBER(Resumen!$B$3),IF(Q344&lt;&gt;"",Q344,I344)&lt;Resumen!$B$3),"REVISAR",IF(IF(Q344&lt;&gt;"",Q344,I344)&lt;TODAY(),"ATRASADO",IF(IF(Q344&lt;&gt;"",Q344,I344)-TODAY()&lt;=2,"POR VENCER","EN TIEMPO")))))</f>
        <v>Entregado</v>
      </c>
      <c r="N344" s="23" t="s">
        <v>216</v>
      </c>
      <c r="P344" s="23" t="s">
        <v>708</v>
      </c>
      <c r="Q344" s="28"/>
    </row>
    <row r="345" spans="1:17" ht="16.5" hidden="1" x14ac:dyDescent="0.3">
      <c r="A345" s="23" t="s">
        <v>710</v>
      </c>
      <c r="B345" s="23" t="s">
        <v>56</v>
      </c>
      <c r="C345" s="23" t="s">
        <v>711</v>
      </c>
      <c r="D345" s="24">
        <v>46147</v>
      </c>
      <c r="E345" s="25">
        <v>1</v>
      </c>
      <c r="F345" s="24">
        <v>46147</v>
      </c>
      <c r="G345" s="23" t="s">
        <v>204</v>
      </c>
      <c r="H345" s="26">
        <v>42</v>
      </c>
      <c r="I345" s="24">
        <f t="shared" si="15"/>
        <v>46189</v>
      </c>
      <c r="J345" s="26">
        <f t="shared" ca="1" si="16"/>
        <v>-115</v>
      </c>
      <c r="K345" s="26" t="str">
        <f t="shared" ca="1" si="17"/>
        <v/>
      </c>
      <c r="L345" s="27" t="s">
        <v>1567</v>
      </c>
      <c r="M345" s="26" t="str">
        <f ca="1">IF(L345&lt;&gt;"","Entregado",IF(NOT(ISNUMBER(IF(Q345&lt;&gt;"",Q345,I345))),"REVISAR TE",IF(AND(ISNUMBER(Resumen!$B$3),IF(Q345&lt;&gt;"",Q345,I345)&lt;Resumen!$B$3),"REVISAR",IF(IF(Q345&lt;&gt;"",Q345,I345)&lt;TODAY(),"ATRASADO",IF(IF(Q345&lt;&gt;"",Q345,I345)-TODAY()&lt;=2,"POR VENCER","EN TIEMPO")))))</f>
        <v>Entregado</v>
      </c>
      <c r="N345" s="23" t="s">
        <v>84</v>
      </c>
      <c r="P345" s="23" t="s">
        <v>712</v>
      </c>
      <c r="Q345" s="28"/>
    </row>
    <row r="346" spans="1:17" ht="16.5" hidden="1" x14ac:dyDescent="0.3">
      <c r="A346" s="23" t="s">
        <v>710</v>
      </c>
      <c r="B346" s="23" t="s">
        <v>56</v>
      </c>
      <c r="C346" s="23" t="s">
        <v>713</v>
      </c>
      <c r="D346" s="24">
        <v>46147</v>
      </c>
      <c r="E346" s="25">
        <v>1</v>
      </c>
      <c r="F346" s="24">
        <v>46147</v>
      </c>
      <c r="G346" s="23" t="s">
        <v>204</v>
      </c>
      <c r="H346" s="26">
        <v>42</v>
      </c>
      <c r="I346" s="24">
        <f t="shared" si="15"/>
        <v>46189</v>
      </c>
      <c r="J346" s="26">
        <f t="shared" ca="1" si="16"/>
        <v>-115</v>
      </c>
      <c r="K346" s="26" t="str">
        <f t="shared" ca="1" si="17"/>
        <v/>
      </c>
      <c r="L346" s="27" t="s">
        <v>1567</v>
      </c>
      <c r="M346" s="26" t="str">
        <f ca="1">IF(L346&lt;&gt;"","Entregado",IF(NOT(ISNUMBER(IF(Q346&lt;&gt;"",Q346,I346))),"REVISAR TE",IF(AND(ISNUMBER(Resumen!$B$3),IF(Q346&lt;&gt;"",Q346,I346)&lt;Resumen!$B$3),"REVISAR",IF(IF(Q346&lt;&gt;"",Q346,I346)&lt;TODAY(),"ATRASADO",IF(IF(Q346&lt;&gt;"",Q346,I346)-TODAY()&lt;=2,"POR VENCER","EN TIEMPO")))))</f>
        <v>Entregado</v>
      </c>
      <c r="N346" s="23" t="s">
        <v>84</v>
      </c>
      <c r="P346" s="23" t="s">
        <v>712</v>
      </c>
      <c r="Q346" s="28"/>
    </row>
    <row r="347" spans="1:17" ht="16.5" hidden="1" x14ac:dyDescent="0.3">
      <c r="A347" s="23" t="s">
        <v>714</v>
      </c>
      <c r="B347" s="23"/>
      <c r="C347" s="23" t="s">
        <v>715</v>
      </c>
      <c r="D347" s="24">
        <v>46147</v>
      </c>
      <c r="E347" s="25">
        <v>50</v>
      </c>
      <c r="F347" s="24">
        <v>46147</v>
      </c>
      <c r="G347" s="23" t="s">
        <v>103</v>
      </c>
      <c r="H347" s="26">
        <v>35</v>
      </c>
      <c r="I347" s="24">
        <f t="shared" si="15"/>
        <v>46182</v>
      </c>
      <c r="J347" s="26">
        <f t="shared" ca="1" si="16"/>
        <v>-122</v>
      </c>
      <c r="K347" s="26" t="str">
        <f t="shared" ca="1" si="17"/>
        <v/>
      </c>
      <c r="L347" s="27" t="s">
        <v>1567</v>
      </c>
      <c r="M347" s="26" t="str">
        <f ca="1">IF(L347&lt;&gt;"","Entregado",IF(NOT(ISNUMBER(IF(Q347&lt;&gt;"",Q347,I347))),"REVISAR TE",IF(AND(ISNUMBER(Resumen!$B$3),IF(Q347&lt;&gt;"",Q347,I347)&lt;Resumen!$B$3),"REVISAR",IF(IF(Q347&lt;&gt;"",Q347,I347)&lt;TODAY(),"ATRASADO",IF(IF(Q347&lt;&gt;"",Q347,I347)-TODAY()&lt;=2,"POR VENCER","EN TIEMPO")))))</f>
        <v>Entregado</v>
      </c>
      <c r="N347" s="23" t="s">
        <v>94</v>
      </c>
      <c r="P347" s="23" t="s">
        <v>716</v>
      </c>
      <c r="Q347" s="28"/>
    </row>
    <row r="348" spans="1:17" ht="16.5" hidden="1" x14ac:dyDescent="0.3">
      <c r="A348" s="23" t="s">
        <v>714</v>
      </c>
      <c r="B348" s="23"/>
      <c r="C348" s="23" t="s">
        <v>717</v>
      </c>
      <c r="D348" s="24">
        <v>46147</v>
      </c>
      <c r="E348" s="25">
        <v>50</v>
      </c>
      <c r="F348" s="24">
        <v>46147</v>
      </c>
      <c r="G348" s="23" t="s">
        <v>103</v>
      </c>
      <c r="H348" s="26">
        <v>35</v>
      </c>
      <c r="I348" s="24">
        <f t="shared" si="15"/>
        <v>46182</v>
      </c>
      <c r="J348" s="26">
        <f t="shared" ca="1" si="16"/>
        <v>-122</v>
      </c>
      <c r="K348" s="26" t="str">
        <f t="shared" ca="1" si="17"/>
        <v/>
      </c>
      <c r="L348" s="27" t="s">
        <v>1567</v>
      </c>
      <c r="M348" s="26" t="str">
        <f ca="1">IF(L348&lt;&gt;"","Entregado",IF(NOT(ISNUMBER(IF(Q348&lt;&gt;"",Q348,I348))),"REVISAR TE",IF(AND(ISNUMBER(Resumen!$B$3),IF(Q348&lt;&gt;"",Q348,I348)&lt;Resumen!$B$3),"REVISAR",IF(IF(Q348&lt;&gt;"",Q348,I348)&lt;TODAY(),"ATRASADO",IF(IF(Q348&lt;&gt;"",Q348,I348)-TODAY()&lt;=2,"POR VENCER","EN TIEMPO")))))</f>
        <v>Entregado</v>
      </c>
      <c r="N348" s="23" t="s">
        <v>94</v>
      </c>
      <c r="P348" s="23" t="s">
        <v>716</v>
      </c>
      <c r="Q348" s="28"/>
    </row>
    <row r="349" spans="1:17" ht="16.5" hidden="1" x14ac:dyDescent="0.3">
      <c r="A349" s="23" t="s">
        <v>714</v>
      </c>
      <c r="B349" s="23"/>
      <c r="C349" s="23" t="s">
        <v>718</v>
      </c>
      <c r="D349" s="24">
        <v>46147</v>
      </c>
      <c r="E349" s="25">
        <v>50</v>
      </c>
      <c r="F349" s="24">
        <v>46147</v>
      </c>
      <c r="G349" s="23" t="s">
        <v>103</v>
      </c>
      <c r="H349" s="26">
        <v>35</v>
      </c>
      <c r="I349" s="24">
        <f t="shared" si="15"/>
        <v>46182</v>
      </c>
      <c r="J349" s="26">
        <f t="shared" ca="1" si="16"/>
        <v>-122</v>
      </c>
      <c r="K349" s="26" t="str">
        <f t="shared" ca="1" si="17"/>
        <v/>
      </c>
      <c r="L349" s="27" t="s">
        <v>1567</v>
      </c>
      <c r="M349" s="26" t="str">
        <f ca="1">IF(L349&lt;&gt;"","Entregado",IF(NOT(ISNUMBER(IF(Q349&lt;&gt;"",Q349,I349))),"REVISAR TE",IF(AND(ISNUMBER(Resumen!$B$3),IF(Q349&lt;&gt;"",Q349,I349)&lt;Resumen!$B$3),"REVISAR",IF(IF(Q349&lt;&gt;"",Q349,I349)&lt;TODAY(),"ATRASADO",IF(IF(Q349&lt;&gt;"",Q349,I349)-TODAY()&lt;=2,"POR VENCER","EN TIEMPO")))))</f>
        <v>Entregado</v>
      </c>
      <c r="N349" s="23" t="s">
        <v>94</v>
      </c>
      <c r="P349" s="23" t="s">
        <v>716</v>
      </c>
      <c r="Q349" s="28"/>
    </row>
    <row r="350" spans="1:17" ht="16.5" hidden="1" x14ac:dyDescent="0.3">
      <c r="A350" s="23" t="s">
        <v>719</v>
      </c>
      <c r="B350" s="23" t="s">
        <v>54</v>
      </c>
      <c r="C350" s="23" t="s">
        <v>720</v>
      </c>
      <c r="D350" s="24">
        <v>46147</v>
      </c>
      <c r="E350" s="25">
        <v>8</v>
      </c>
      <c r="F350" s="24">
        <v>46147</v>
      </c>
      <c r="G350" s="23" t="s">
        <v>274</v>
      </c>
      <c r="H350" s="26">
        <v>42</v>
      </c>
      <c r="I350" s="24">
        <f t="shared" si="15"/>
        <v>46189</v>
      </c>
      <c r="J350" s="26">
        <f t="shared" ca="1" si="16"/>
        <v>-115</v>
      </c>
      <c r="K350" s="26" t="str">
        <f t="shared" ca="1" si="17"/>
        <v/>
      </c>
      <c r="L350" s="27" t="s">
        <v>1567</v>
      </c>
      <c r="M350" s="26" t="str">
        <f ca="1">IF(L350&lt;&gt;"","Entregado",IF(NOT(ISNUMBER(IF(Q350&lt;&gt;"",Q350,I350))),"REVISAR TE",IF(AND(ISNUMBER(Resumen!$B$3),IF(Q350&lt;&gt;"",Q350,I350)&lt;Resumen!$B$3),"REVISAR",IF(IF(Q350&lt;&gt;"",Q350,I350)&lt;TODAY(),"ATRASADO",IF(IF(Q350&lt;&gt;"",Q350,I350)-TODAY()&lt;=2,"POR VENCER","EN TIEMPO")))))</f>
        <v>Entregado</v>
      </c>
      <c r="N350" s="23" t="s">
        <v>98</v>
      </c>
      <c r="P350" s="23" t="s">
        <v>721</v>
      </c>
      <c r="Q350" s="28"/>
    </row>
    <row r="351" spans="1:17" ht="16.5" hidden="1" x14ac:dyDescent="0.3">
      <c r="A351" s="23" t="s">
        <v>722</v>
      </c>
      <c r="B351" s="23" t="s">
        <v>54</v>
      </c>
      <c r="C351" s="23" t="s">
        <v>723</v>
      </c>
      <c r="D351" s="24">
        <v>46147</v>
      </c>
      <c r="E351" s="25">
        <v>3</v>
      </c>
      <c r="F351" s="24">
        <v>46147</v>
      </c>
      <c r="G351" s="23" t="s">
        <v>274</v>
      </c>
      <c r="H351" s="26">
        <v>42</v>
      </c>
      <c r="I351" s="24">
        <f t="shared" si="15"/>
        <v>46189</v>
      </c>
      <c r="J351" s="26">
        <f t="shared" ca="1" si="16"/>
        <v>-115</v>
      </c>
      <c r="K351" s="26" t="str">
        <f t="shared" ca="1" si="17"/>
        <v/>
      </c>
      <c r="L351" s="27" t="s">
        <v>1567</v>
      </c>
      <c r="M351" s="26" t="str">
        <f ca="1">IF(L351&lt;&gt;"","Entregado",IF(NOT(ISNUMBER(IF(Q351&lt;&gt;"",Q351,I351))),"REVISAR TE",IF(AND(ISNUMBER(Resumen!$B$3),IF(Q351&lt;&gt;"",Q351,I351)&lt;Resumen!$B$3),"REVISAR",IF(IF(Q351&lt;&gt;"",Q351,I351)&lt;TODAY(),"ATRASADO",IF(IF(Q351&lt;&gt;"",Q351,I351)-TODAY()&lt;=2,"POR VENCER","EN TIEMPO")))))</f>
        <v>Entregado</v>
      </c>
      <c r="N351" s="23" t="s">
        <v>98</v>
      </c>
      <c r="P351" s="23" t="s">
        <v>724</v>
      </c>
      <c r="Q351" s="28"/>
    </row>
    <row r="352" spans="1:17" ht="16.5" hidden="1" x14ac:dyDescent="0.3">
      <c r="A352" s="23" t="s">
        <v>725</v>
      </c>
      <c r="B352" s="23" t="s">
        <v>54</v>
      </c>
      <c r="C352" s="23" t="s">
        <v>726</v>
      </c>
      <c r="D352" s="24">
        <v>46147</v>
      </c>
      <c r="E352" s="25">
        <v>4</v>
      </c>
      <c r="F352" s="24">
        <v>46147</v>
      </c>
      <c r="G352" s="23" t="s">
        <v>274</v>
      </c>
      <c r="H352" s="26">
        <v>42</v>
      </c>
      <c r="I352" s="24">
        <f t="shared" si="15"/>
        <v>46189</v>
      </c>
      <c r="J352" s="26">
        <f t="shared" ca="1" si="16"/>
        <v>-115</v>
      </c>
      <c r="K352" s="26" t="str">
        <f t="shared" ca="1" si="17"/>
        <v/>
      </c>
      <c r="L352" s="27" t="s">
        <v>1567</v>
      </c>
      <c r="M352" s="26" t="str">
        <f ca="1">IF(L352&lt;&gt;"","Entregado",IF(NOT(ISNUMBER(IF(Q352&lt;&gt;"",Q352,I352))),"REVISAR TE",IF(AND(ISNUMBER(Resumen!$B$3),IF(Q352&lt;&gt;"",Q352,I352)&lt;Resumen!$B$3),"REVISAR",IF(IF(Q352&lt;&gt;"",Q352,I352)&lt;TODAY(),"ATRASADO",IF(IF(Q352&lt;&gt;"",Q352,I352)-TODAY()&lt;=2,"POR VENCER","EN TIEMPO")))))</f>
        <v>Entregado</v>
      </c>
      <c r="N352" s="23" t="s">
        <v>98</v>
      </c>
      <c r="P352" s="23" t="s">
        <v>727</v>
      </c>
      <c r="Q352" s="28"/>
    </row>
    <row r="353" spans="1:17" ht="16.5" hidden="1" x14ac:dyDescent="0.3">
      <c r="A353" s="23" t="s">
        <v>728</v>
      </c>
      <c r="B353" s="23" t="s">
        <v>52</v>
      </c>
      <c r="C353" s="23" t="s">
        <v>729</v>
      </c>
      <c r="D353" s="24">
        <v>46150</v>
      </c>
      <c r="E353" s="25">
        <v>1</v>
      </c>
      <c r="F353" s="24">
        <v>46150</v>
      </c>
      <c r="G353" s="23" t="s">
        <v>196</v>
      </c>
      <c r="H353" s="26">
        <v>10</v>
      </c>
      <c r="I353" s="24">
        <f t="shared" si="15"/>
        <v>46160</v>
      </c>
      <c r="J353" s="26">
        <f t="shared" ca="1" si="16"/>
        <v>-144</v>
      </c>
      <c r="K353" s="26" t="str">
        <f t="shared" ca="1" si="17"/>
        <v/>
      </c>
      <c r="L353" s="27" t="s">
        <v>1567</v>
      </c>
      <c r="M353" s="26" t="str">
        <f ca="1">IF(L353&lt;&gt;"","Entregado",IF(NOT(ISNUMBER(IF(Q353&lt;&gt;"",Q353,I353))),"REVISAR TE",IF(AND(ISNUMBER(Resumen!$B$3),IF(Q353&lt;&gt;"",Q353,I353)&lt;Resumen!$B$3),"REVISAR",IF(IF(Q353&lt;&gt;"",Q353,I353)&lt;TODAY(),"ATRASADO",IF(IF(Q353&lt;&gt;"",Q353,I353)-TODAY()&lt;=2,"POR VENCER","EN TIEMPO")))))</f>
        <v>Entregado</v>
      </c>
      <c r="N353" s="23" t="s">
        <v>165</v>
      </c>
      <c r="P353" s="23" t="s">
        <v>730</v>
      </c>
      <c r="Q353" s="28"/>
    </row>
    <row r="354" spans="1:17" ht="16.5" hidden="1" x14ac:dyDescent="0.3">
      <c r="A354" s="23" t="s">
        <v>731</v>
      </c>
      <c r="B354" s="23" t="s">
        <v>58</v>
      </c>
      <c r="C354" s="23" t="s">
        <v>732</v>
      </c>
      <c r="D354" s="24">
        <v>46153</v>
      </c>
      <c r="E354" s="25">
        <v>1</v>
      </c>
      <c r="F354" s="24">
        <v>46153</v>
      </c>
      <c r="G354" s="23" t="s">
        <v>156</v>
      </c>
      <c r="H354" s="26">
        <v>21</v>
      </c>
      <c r="I354" s="24">
        <f t="shared" si="15"/>
        <v>46174</v>
      </c>
      <c r="J354" s="26">
        <f t="shared" ca="1" si="16"/>
        <v>-130</v>
      </c>
      <c r="K354" s="26" t="str">
        <f t="shared" ca="1" si="17"/>
        <v/>
      </c>
      <c r="L354" s="27" t="s">
        <v>1567</v>
      </c>
      <c r="M354" s="26" t="str">
        <f ca="1">IF(L354&lt;&gt;"","Entregado",IF(NOT(ISNUMBER(IF(Q354&lt;&gt;"",Q354,I354))),"REVISAR TE",IF(AND(ISNUMBER(Resumen!$B$3),IF(Q354&lt;&gt;"",Q354,I354)&lt;Resumen!$B$3),"REVISAR",IF(IF(Q354&lt;&gt;"",Q354,I354)&lt;TODAY(),"ATRASADO",IF(IF(Q354&lt;&gt;"",Q354,I354)-TODAY()&lt;=2,"POR VENCER","EN TIEMPO")))))</f>
        <v>Entregado</v>
      </c>
      <c r="N354" s="23" t="s">
        <v>672</v>
      </c>
      <c r="P354" s="23" t="s">
        <v>733</v>
      </c>
      <c r="Q354" s="28"/>
    </row>
    <row r="355" spans="1:17" ht="16.5" hidden="1" x14ac:dyDescent="0.3">
      <c r="A355" s="23" t="s">
        <v>734</v>
      </c>
      <c r="B355" s="23" t="s">
        <v>67</v>
      </c>
      <c r="C355" s="23" t="s">
        <v>735</v>
      </c>
      <c r="D355" s="24">
        <v>46154</v>
      </c>
      <c r="E355" s="25">
        <v>1</v>
      </c>
      <c r="F355" s="24">
        <v>46154</v>
      </c>
      <c r="G355" s="23" t="s">
        <v>411</v>
      </c>
      <c r="H355" s="26">
        <v>3</v>
      </c>
      <c r="I355" s="24">
        <f t="shared" si="15"/>
        <v>46157</v>
      </c>
      <c r="J355" s="26">
        <f t="shared" ca="1" si="16"/>
        <v>-147</v>
      </c>
      <c r="K355" s="26" t="str">
        <f t="shared" ca="1" si="17"/>
        <v/>
      </c>
      <c r="L355" s="27" t="s">
        <v>1567</v>
      </c>
      <c r="M355" s="26" t="str">
        <f ca="1">IF(L355&lt;&gt;"","Entregado",IF(NOT(ISNUMBER(IF(Q355&lt;&gt;"",Q355,I355))),"REVISAR TE",IF(AND(ISNUMBER(Resumen!$B$3),IF(Q355&lt;&gt;"",Q355,I355)&lt;Resumen!$B$3),"REVISAR",IF(IF(Q355&lt;&gt;"",Q355,I355)&lt;TODAY(),"ATRASADO",IF(IF(Q355&lt;&gt;"",Q355,I355)-TODAY()&lt;=2,"POR VENCER","EN TIEMPO")))))</f>
        <v>Entregado</v>
      </c>
      <c r="N355" s="23" t="s">
        <v>511</v>
      </c>
      <c r="P355" s="23" t="s">
        <v>736</v>
      </c>
      <c r="Q355" s="28"/>
    </row>
    <row r="356" spans="1:17" ht="16.5" hidden="1" x14ac:dyDescent="0.3">
      <c r="A356" s="23" t="s">
        <v>737</v>
      </c>
      <c r="B356" s="23" t="s">
        <v>57</v>
      </c>
      <c r="C356" s="23" t="s">
        <v>738</v>
      </c>
      <c r="D356" s="24">
        <v>46155</v>
      </c>
      <c r="E356" s="25">
        <v>1</v>
      </c>
      <c r="F356" s="24">
        <v>46155</v>
      </c>
      <c r="G356" s="23" t="s">
        <v>88</v>
      </c>
      <c r="H356" s="26">
        <v>0</v>
      </c>
      <c r="I356" s="24">
        <f t="shared" si="15"/>
        <v>46155</v>
      </c>
      <c r="J356" s="26">
        <f t="shared" ca="1" si="16"/>
        <v>-149</v>
      </c>
      <c r="K356" s="26" t="str">
        <f t="shared" ca="1" si="17"/>
        <v/>
      </c>
      <c r="L356" s="27" t="s">
        <v>1567</v>
      </c>
      <c r="M356" s="26" t="str">
        <f ca="1">IF(L356&lt;&gt;"","Entregado",IF(NOT(ISNUMBER(IF(Q356&lt;&gt;"",Q356,I356))),"REVISAR TE",IF(AND(ISNUMBER(Resumen!$B$3),IF(Q356&lt;&gt;"",Q356,I356)&lt;Resumen!$B$3),"REVISAR",IF(IF(Q356&lt;&gt;"",Q356,I356)&lt;TODAY(),"ATRASADO",IF(IF(Q356&lt;&gt;"",Q356,I356)-TODAY()&lt;=2,"POR VENCER","EN TIEMPO")))))</f>
        <v>Entregado</v>
      </c>
      <c r="N356" s="23" t="s">
        <v>412</v>
      </c>
      <c r="P356" s="23" t="s">
        <v>739</v>
      </c>
      <c r="Q356" s="28"/>
    </row>
    <row r="357" spans="1:17" ht="16.5" hidden="1" x14ac:dyDescent="0.3">
      <c r="A357" s="23" t="s">
        <v>740</v>
      </c>
      <c r="B357" s="23" t="s">
        <v>57</v>
      </c>
      <c r="C357" s="23" t="s">
        <v>741</v>
      </c>
      <c r="D357" s="24">
        <v>46156</v>
      </c>
      <c r="E357" s="25">
        <v>1</v>
      </c>
      <c r="F357" s="24">
        <v>46156</v>
      </c>
      <c r="G357" s="23" t="s">
        <v>103</v>
      </c>
      <c r="H357" s="26">
        <v>35</v>
      </c>
      <c r="I357" s="24">
        <f t="shared" si="15"/>
        <v>46191</v>
      </c>
      <c r="J357" s="26">
        <f t="shared" ca="1" si="16"/>
        <v>-113</v>
      </c>
      <c r="K357" s="26" t="str">
        <f t="shared" ca="1" si="17"/>
        <v/>
      </c>
      <c r="L357" s="27" t="s">
        <v>1567</v>
      </c>
      <c r="M357" s="26" t="str">
        <f ca="1">IF(L357&lt;&gt;"","Entregado",IF(NOT(ISNUMBER(IF(Q357&lt;&gt;"",Q357,I357))),"REVISAR TE",IF(AND(ISNUMBER(Resumen!$B$3),IF(Q357&lt;&gt;"",Q357,I357)&lt;Resumen!$B$3),"REVISAR",IF(IF(Q357&lt;&gt;"",Q357,I357)&lt;TODAY(),"ATRASADO",IF(IF(Q357&lt;&gt;"",Q357,I357)-TODAY()&lt;=2,"POR VENCER","EN TIEMPO")))))</f>
        <v>Entregado</v>
      </c>
      <c r="N357" s="23" t="s">
        <v>245</v>
      </c>
      <c r="P357" s="23" t="s">
        <v>742</v>
      </c>
      <c r="Q357" s="28"/>
    </row>
    <row r="358" spans="1:17" ht="16.5" hidden="1" x14ac:dyDescent="0.3">
      <c r="A358" s="23" t="s">
        <v>743</v>
      </c>
      <c r="B358" s="23" t="s">
        <v>70</v>
      </c>
      <c r="C358" s="23" t="s">
        <v>744</v>
      </c>
      <c r="D358" s="24">
        <v>46157</v>
      </c>
      <c r="E358" s="25">
        <v>5</v>
      </c>
      <c r="F358" s="24">
        <v>46157</v>
      </c>
      <c r="G358" s="23"/>
      <c r="H358" s="26"/>
      <c r="I358" s="24" t="str">
        <f t="shared" si="15"/>
        <v/>
      </c>
      <c r="J358" s="26" t="e">
        <f t="shared" ca="1" si="16"/>
        <v>#VALUE!</v>
      </c>
      <c r="K358" s="26" t="str">
        <f t="shared" ca="1" si="17"/>
        <v/>
      </c>
      <c r="L358" s="27" t="s">
        <v>1567</v>
      </c>
      <c r="M358" s="26" t="str">
        <f ca="1">IF(L358&lt;&gt;"","Entregado",IF(NOT(ISNUMBER(IF(Q358&lt;&gt;"",Q358,I358))),"REVISAR TE",IF(AND(ISNUMBER(Resumen!$B$3),IF(Q358&lt;&gt;"",Q358,I358)&lt;Resumen!$B$3),"REVISAR",IF(IF(Q358&lt;&gt;"",Q358,I358)&lt;TODAY(),"ATRASADO",IF(IF(Q358&lt;&gt;"",Q358,I358)-TODAY()&lt;=2,"POR VENCER","EN TIEMPO")))))</f>
        <v>Entregado</v>
      </c>
      <c r="N358" s="23" t="s">
        <v>431</v>
      </c>
      <c r="P358" s="23" t="s">
        <v>745</v>
      </c>
      <c r="Q358" s="28"/>
    </row>
    <row r="359" spans="1:17" ht="16.5" hidden="1" x14ac:dyDescent="0.3">
      <c r="A359" s="23" t="s">
        <v>746</v>
      </c>
      <c r="B359" s="23" t="s">
        <v>52</v>
      </c>
      <c r="C359" s="23" t="s">
        <v>748</v>
      </c>
      <c r="D359" s="24">
        <v>46157</v>
      </c>
      <c r="E359" s="25">
        <v>1</v>
      </c>
      <c r="F359" s="24">
        <v>46157</v>
      </c>
      <c r="G359" s="23" t="s">
        <v>747</v>
      </c>
      <c r="H359" s="26">
        <v>1</v>
      </c>
      <c r="I359" s="24">
        <f t="shared" si="15"/>
        <v>46158</v>
      </c>
      <c r="J359" s="26">
        <f t="shared" ca="1" si="16"/>
        <v>-146</v>
      </c>
      <c r="K359" s="26" t="str">
        <f t="shared" ca="1" si="17"/>
        <v/>
      </c>
      <c r="L359" s="27" t="s">
        <v>1567</v>
      </c>
      <c r="M359" s="26" t="str">
        <f ca="1">IF(L359&lt;&gt;"","Entregado",IF(NOT(ISNUMBER(IF(Q359&lt;&gt;"",Q359,I359))),"REVISAR TE",IF(AND(ISNUMBER(Resumen!$B$3),IF(Q359&lt;&gt;"",Q359,I359)&lt;Resumen!$B$3),"REVISAR",IF(IF(Q359&lt;&gt;"",Q359,I359)&lt;TODAY(),"ATRASADO",IF(IF(Q359&lt;&gt;"",Q359,I359)-TODAY()&lt;=2,"POR VENCER","EN TIEMPO")))))</f>
        <v>Entregado</v>
      </c>
      <c r="N359" s="23" t="s">
        <v>511</v>
      </c>
      <c r="P359" s="23" t="s">
        <v>749</v>
      </c>
      <c r="Q359" s="28"/>
    </row>
    <row r="360" spans="1:17" ht="16.5" hidden="1" x14ac:dyDescent="0.3">
      <c r="A360" s="23" t="s">
        <v>746</v>
      </c>
      <c r="B360" s="23" t="s">
        <v>52</v>
      </c>
      <c r="C360" s="23" t="s">
        <v>750</v>
      </c>
      <c r="D360" s="24">
        <v>46157</v>
      </c>
      <c r="E360" s="25">
        <v>1</v>
      </c>
      <c r="F360" s="24">
        <v>46157</v>
      </c>
      <c r="G360" s="23" t="s">
        <v>747</v>
      </c>
      <c r="H360" s="26">
        <v>1</v>
      </c>
      <c r="I360" s="24">
        <f t="shared" si="15"/>
        <v>46158</v>
      </c>
      <c r="J360" s="26">
        <f t="shared" ca="1" si="16"/>
        <v>-146</v>
      </c>
      <c r="K360" s="26" t="str">
        <f t="shared" ca="1" si="17"/>
        <v/>
      </c>
      <c r="L360" s="27" t="s">
        <v>1567</v>
      </c>
      <c r="M360" s="26" t="str">
        <f ca="1">IF(L360&lt;&gt;"","Entregado",IF(NOT(ISNUMBER(IF(Q360&lt;&gt;"",Q360,I360))),"REVISAR TE",IF(AND(ISNUMBER(Resumen!$B$3),IF(Q360&lt;&gt;"",Q360,I360)&lt;Resumen!$B$3),"REVISAR",IF(IF(Q360&lt;&gt;"",Q360,I360)&lt;TODAY(),"ATRASADO",IF(IF(Q360&lt;&gt;"",Q360,I360)-TODAY()&lt;=2,"POR VENCER","EN TIEMPO")))))</f>
        <v>Entregado</v>
      </c>
      <c r="N360" s="23" t="s">
        <v>511</v>
      </c>
      <c r="P360" s="23" t="s">
        <v>749</v>
      </c>
      <c r="Q360" s="28"/>
    </row>
    <row r="361" spans="1:17" ht="16.5" hidden="1" x14ac:dyDescent="0.3">
      <c r="A361" s="23" t="s">
        <v>746</v>
      </c>
      <c r="B361" s="23" t="s">
        <v>52</v>
      </c>
      <c r="C361" s="23" t="s">
        <v>751</v>
      </c>
      <c r="D361" s="24">
        <v>46157</v>
      </c>
      <c r="E361" s="25">
        <v>1</v>
      </c>
      <c r="F361" s="24">
        <v>46157</v>
      </c>
      <c r="G361" s="23" t="s">
        <v>747</v>
      </c>
      <c r="H361" s="26">
        <v>1</v>
      </c>
      <c r="I361" s="24">
        <f t="shared" si="15"/>
        <v>46158</v>
      </c>
      <c r="J361" s="26">
        <f t="shared" ca="1" si="16"/>
        <v>-146</v>
      </c>
      <c r="K361" s="26" t="str">
        <f t="shared" ca="1" si="17"/>
        <v/>
      </c>
      <c r="L361" s="27" t="s">
        <v>1567</v>
      </c>
      <c r="M361" s="26" t="str">
        <f ca="1">IF(L361&lt;&gt;"","Entregado",IF(NOT(ISNUMBER(IF(Q361&lt;&gt;"",Q361,I361))),"REVISAR TE",IF(AND(ISNUMBER(Resumen!$B$3),IF(Q361&lt;&gt;"",Q361,I361)&lt;Resumen!$B$3),"REVISAR",IF(IF(Q361&lt;&gt;"",Q361,I361)&lt;TODAY(),"ATRASADO",IF(IF(Q361&lt;&gt;"",Q361,I361)-TODAY()&lt;=2,"POR VENCER","EN TIEMPO")))))</f>
        <v>Entregado</v>
      </c>
      <c r="N361" s="23" t="s">
        <v>511</v>
      </c>
      <c r="P361" s="23" t="s">
        <v>749</v>
      </c>
      <c r="Q361" s="28"/>
    </row>
    <row r="362" spans="1:17" ht="16.5" hidden="1" x14ac:dyDescent="0.3">
      <c r="A362" s="23" t="s">
        <v>746</v>
      </c>
      <c r="B362" s="23" t="s">
        <v>52</v>
      </c>
      <c r="C362" s="23" t="s">
        <v>752</v>
      </c>
      <c r="D362" s="24">
        <v>46157</v>
      </c>
      <c r="E362" s="25">
        <v>1</v>
      </c>
      <c r="F362" s="24">
        <v>46157</v>
      </c>
      <c r="G362" s="23" t="s">
        <v>747</v>
      </c>
      <c r="H362" s="26">
        <v>1</v>
      </c>
      <c r="I362" s="24">
        <f t="shared" si="15"/>
        <v>46158</v>
      </c>
      <c r="J362" s="26">
        <f t="shared" ca="1" si="16"/>
        <v>-146</v>
      </c>
      <c r="K362" s="26" t="str">
        <f t="shared" ca="1" si="17"/>
        <v/>
      </c>
      <c r="L362" s="27" t="s">
        <v>1567</v>
      </c>
      <c r="M362" s="26" t="str">
        <f ca="1">IF(L362&lt;&gt;"","Entregado",IF(NOT(ISNUMBER(IF(Q362&lt;&gt;"",Q362,I362))),"REVISAR TE",IF(AND(ISNUMBER(Resumen!$B$3),IF(Q362&lt;&gt;"",Q362,I362)&lt;Resumen!$B$3),"REVISAR",IF(IF(Q362&lt;&gt;"",Q362,I362)&lt;TODAY(),"ATRASADO",IF(IF(Q362&lt;&gt;"",Q362,I362)-TODAY()&lt;=2,"POR VENCER","EN TIEMPO")))))</f>
        <v>Entregado</v>
      </c>
      <c r="N362" s="23" t="s">
        <v>511</v>
      </c>
      <c r="P362" s="23" t="s">
        <v>749</v>
      </c>
      <c r="Q362" s="28"/>
    </row>
    <row r="363" spans="1:17" ht="16.5" hidden="1" x14ac:dyDescent="0.3">
      <c r="A363" s="23" t="s">
        <v>753</v>
      </c>
      <c r="B363" s="23" t="s">
        <v>52</v>
      </c>
      <c r="C363" s="23" t="s">
        <v>755</v>
      </c>
      <c r="D363" s="24">
        <v>46157</v>
      </c>
      <c r="E363" s="25">
        <v>1</v>
      </c>
      <c r="F363" s="24">
        <v>46157</v>
      </c>
      <c r="G363" s="23" t="s">
        <v>180</v>
      </c>
      <c r="H363" s="26">
        <v>14</v>
      </c>
      <c r="I363" s="24">
        <f t="shared" si="15"/>
        <v>46171</v>
      </c>
      <c r="J363" s="26">
        <f t="shared" ca="1" si="16"/>
        <v>-133</v>
      </c>
      <c r="K363" s="26" t="str">
        <f t="shared" ca="1" si="17"/>
        <v/>
      </c>
      <c r="L363" s="27" t="s">
        <v>1567</v>
      </c>
      <c r="M363" s="26" t="str">
        <f ca="1">IF(L363&lt;&gt;"","Entregado",IF(NOT(ISNUMBER(IF(Q363&lt;&gt;"",Q363,I363))),"REVISAR TE",IF(AND(ISNUMBER(Resumen!$B$3),IF(Q363&lt;&gt;"",Q363,I363)&lt;Resumen!$B$3),"REVISAR",IF(IF(Q363&lt;&gt;"",Q363,I363)&lt;TODAY(),"ATRASADO",IF(IF(Q363&lt;&gt;"",Q363,I363)-TODAY()&lt;=2,"POR VENCER","EN TIEMPO")))))</f>
        <v>Entregado</v>
      </c>
      <c r="N363" s="23" t="s">
        <v>754</v>
      </c>
      <c r="P363" s="23" t="s">
        <v>756</v>
      </c>
      <c r="Q363" s="28"/>
    </row>
    <row r="364" spans="1:17" ht="16.5" hidden="1" x14ac:dyDescent="0.3">
      <c r="A364" s="23" t="s">
        <v>753</v>
      </c>
      <c r="B364" s="23" t="s">
        <v>52</v>
      </c>
      <c r="C364" s="23" t="s">
        <v>757</v>
      </c>
      <c r="D364" s="24">
        <v>46157</v>
      </c>
      <c r="E364" s="25">
        <v>1</v>
      </c>
      <c r="F364" s="24">
        <v>46157</v>
      </c>
      <c r="G364" s="23" t="s">
        <v>180</v>
      </c>
      <c r="H364" s="26">
        <v>14</v>
      </c>
      <c r="I364" s="24">
        <f t="shared" si="15"/>
        <v>46171</v>
      </c>
      <c r="J364" s="26">
        <f t="shared" ca="1" si="16"/>
        <v>-133</v>
      </c>
      <c r="K364" s="26" t="str">
        <f t="shared" ca="1" si="17"/>
        <v/>
      </c>
      <c r="L364" s="27" t="s">
        <v>1567</v>
      </c>
      <c r="M364" s="26" t="str">
        <f ca="1">IF(L364&lt;&gt;"","Entregado",IF(NOT(ISNUMBER(IF(Q364&lt;&gt;"",Q364,I364))),"REVISAR TE",IF(AND(ISNUMBER(Resumen!$B$3),IF(Q364&lt;&gt;"",Q364,I364)&lt;Resumen!$B$3),"REVISAR",IF(IF(Q364&lt;&gt;"",Q364,I364)&lt;TODAY(),"ATRASADO",IF(IF(Q364&lt;&gt;"",Q364,I364)-TODAY()&lt;=2,"POR VENCER","EN TIEMPO")))))</f>
        <v>Entregado</v>
      </c>
      <c r="N364" s="23" t="s">
        <v>754</v>
      </c>
      <c r="P364" s="23" t="s">
        <v>756</v>
      </c>
      <c r="Q364" s="28"/>
    </row>
    <row r="365" spans="1:17" ht="16.5" hidden="1" x14ac:dyDescent="0.3">
      <c r="A365" s="23" t="s">
        <v>758</v>
      </c>
      <c r="B365" s="23" t="s">
        <v>52</v>
      </c>
      <c r="C365" s="23" t="s">
        <v>759</v>
      </c>
      <c r="D365" s="24">
        <v>46157</v>
      </c>
      <c r="E365" s="25">
        <v>1</v>
      </c>
      <c r="F365" s="24">
        <v>46157</v>
      </c>
      <c r="G365" s="23" t="s">
        <v>180</v>
      </c>
      <c r="H365" s="26">
        <v>14</v>
      </c>
      <c r="I365" s="24">
        <f t="shared" si="15"/>
        <v>46171</v>
      </c>
      <c r="J365" s="26">
        <f t="shared" ca="1" si="16"/>
        <v>-133</v>
      </c>
      <c r="K365" s="26" t="str">
        <f t="shared" ca="1" si="17"/>
        <v/>
      </c>
      <c r="L365" s="27" t="s">
        <v>1567</v>
      </c>
      <c r="M365" s="26" t="str">
        <f ca="1">IF(L365&lt;&gt;"","Entregado",IF(NOT(ISNUMBER(IF(Q365&lt;&gt;"",Q365,I365))),"REVISAR TE",IF(AND(ISNUMBER(Resumen!$B$3),IF(Q365&lt;&gt;"",Q365,I365)&lt;Resumen!$B$3),"REVISAR",IF(IF(Q365&lt;&gt;"",Q365,I365)&lt;TODAY(),"ATRASADO",IF(IF(Q365&lt;&gt;"",Q365,I365)-TODAY()&lt;=2,"POR VENCER","EN TIEMPO")))))</f>
        <v>Entregado</v>
      </c>
      <c r="N365" s="23" t="s">
        <v>754</v>
      </c>
      <c r="P365" s="23" t="s">
        <v>760</v>
      </c>
      <c r="Q365" s="28"/>
    </row>
    <row r="366" spans="1:17" ht="16.5" hidden="1" x14ac:dyDescent="0.3">
      <c r="A366" s="23" t="s">
        <v>761</v>
      </c>
      <c r="B366" s="23" t="s">
        <v>53</v>
      </c>
      <c r="C366" s="23" t="s">
        <v>762</v>
      </c>
      <c r="D366" s="24">
        <v>46157</v>
      </c>
      <c r="E366" s="25">
        <v>5</v>
      </c>
      <c r="F366" s="24">
        <v>46157</v>
      </c>
      <c r="G366" s="23" t="s">
        <v>361</v>
      </c>
      <c r="H366" s="26">
        <v>49</v>
      </c>
      <c r="I366" s="24">
        <f t="shared" si="15"/>
        <v>46206</v>
      </c>
      <c r="J366" s="26">
        <f t="shared" ca="1" si="16"/>
        <v>-98</v>
      </c>
      <c r="K366" s="26" t="str">
        <f t="shared" ca="1" si="17"/>
        <v/>
      </c>
      <c r="L366" s="27" t="s">
        <v>1567</v>
      </c>
      <c r="M366" s="26" t="str">
        <f ca="1">IF(L366&lt;&gt;"","Entregado",IF(NOT(ISNUMBER(IF(Q366&lt;&gt;"",Q366,I366))),"REVISAR TE",IF(AND(ISNUMBER(Resumen!$B$3),IF(Q366&lt;&gt;"",Q366,I366)&lt;Resumen!$B$3),"REVISAR",IF(IF(Q366&lt;&gt;"",Q366,I366)&lt;TODAY(),"ATRASADO",IF(IF(Q366&lt;&gt;"",Q366,I366)-TODAY()&lt;=2,"POR VENCER","EN TIEMPO")))))</f>
        <v>Entregado</v>
      </c>
      <c r="N366" s="23" t="s">
        <v>94</v>
      </c>
      <c r="P366" s="23" t="s">
        <v>763</v>
      </c>
      <c r="Q366" s="28"/>
    </row>
    <row r="367" spans="1:17" ht="16.5" hidden="1" x14ac:dyDescent="0.3">
      <c r="A367" s="23" t="s">
        <v>761</v>
      </c>
      <c r="B367" s="23" t="s">
        <v>53</v>
      </c>
      <c r="C367" s="23" t="s">
        <v>764</v>
      </c>
      <c r="D367" s="24">
        <v>46157</v>
      </c>
      <c r="E367" s="25">
        <v>1</v>
      </c>
      <c r="F367" s="24">
        <v>46157</v>
      </c>
      <c r="G367" s="23" t="s">
        <v>361</v>
      </c>
      <c r="H367" s="26">
        <v>49</v>
      </c>
      <c r="I367" s="24">
        <f t="shared" si="15"/>
        <v>46206</v>
      </c>
      <c r="J367" s="26">
        <f t="shared" ca="1" si="16"/>
        <v>-98</v>
      </c>
      <c r="K367" s="26" t="str">
        <f t="shared" ca="1" si="17"/>
        <v/>
      </c>
      <c r="L367" s="27" t="s">
        <v>1567</v>
      </c>
      <c r="M367" s="26" t="str">
        <f ca="1">IF(L367&lt;&gt;"","Entregado",IF(NOT(ISNUMBER(IF(Q367&lt;&gt;"",Q367,I367))),"REVISAR TE",IF(AND(ISNUMBER(Resumen!$B$3),IF(Q367&lt;&gt;"",Q367,I367)&lt;Resumen!$B$3),"REVISAR",IF(IF(Q367&lt;&gt;"",Q367,I367)&lt;TODAY(),"ATRASADO",IF(IF(Q367&lt;&gt;"",Q367,I367)-TODAY()&lt;=2,"POR VENCER","EN TIEMPO")))))</f>
        <v>Entregado</v>
      </c>
      <c r="N367" s="23" t="s">
        <v>245</v>
      </c>
      <c r="P367" s="23" t="s">
        <v>763</v>
      </c>
      <c r="Q367" s="28"/>
    </row>
    <row r="368" spans="1:17" ht="16.5" hidden="1" x14ac:dyDescent="0.3">
      <c r="A368" s="23" t="s">
        <v>761</v>
      </c>
      <c r="B368" s="23" t="s">
        <v>53</v>
      </c>
      <c r="C368" s="23" t="s">
        <v>765</v>
      </c>
      <c r="D368" s="24">
        <v>46157</v>
      </c>
      <c r="E368" s="25">
        <v>1</v>
      </c>
      <c r="F368" s="24">
        <v>46157</v>
      </c>
      <c r="G368" s="23" t="s">
        <v>361</v>
      </c>
      <c r="H368" s="26">
        <v>49</v>
      </c>
      <c r="I368" s="24">
        <f t="shared" si="15"/>
        <v>46206</v>
      </c>
      <c r="J368" s="26">
        <f t="shared" ca="1" si="16"/>
        <v>-98</v>
      </c>
      <c r="K368" s="26" t="str">
        <f t="shared" ca="1" si="17"/>
        <v/>
      </c>
      <c r="L368" s="27" t="s">
        <v>1567</v>
      </c>
      <c r="M368" s="26" t="str">
        <f ca="1">IF(L368&lt;&gt;"","Entregado",IF(NOT(ISNUMBER(IF(Q368&lt;&gt;"",Q368,I368))),"REVISAR TE",IF(AND(ISNUMBER(Resumen!$B$3),IF(Q368&lt;&gt;"",Q368,I368)&lt;Resumen!$B$3),"REVISAR",IF(IF(Q368&lt;&gt;"",Q368,I368)&lt;TODAY(),"ATRASADO",IF(IF(Q368&lt;&gt;"",Q368,I368)-TODAY()&lt;=2,"POR VENCER","EN TIEMPO")))))</f>
        <v>Entregado</v>
      </c>
      <c r="N368" s="23" t="s">
        <v>245</v>
      </c>
      <c r="P368" s="23" t="s">
        <v>763</v>
      </c>
      <c r="Q368" s="28"/>
    </row>
    <row r="369" spans="1:17" ht="16.5" hidden="1" x14ac:dyDescent="0.3">
      <c r="A369" s="23" t="s">
        <v>761</v>
      </c>
      <c r="B369" s="23" t="s">
        <v>53</v>
      </c>
      <c r="C369" s="23" t="s">
        <v>766</v>
      </c>
      <c r="D369" s="24">
        <v>46157</v>
      </c>
      <c r="E369" s="25">
        <v>1</v>
      </c>
      <c r="F369" s="24">
        <v>46157</v>
      </c>
      <c r="G369" s="23" t="s">
        <v>361</v>
      </c>
      <c r="H369" s="26">
        <v>49</v>
      </c>
      <c r="I369" s="24">
        <f t="shared" si="15"/>
        <v>46206</v>
      </c>
      <c r="J369" s="26">
        <f t="shared" ca="1" si="16"/>
        <v>-98</v>
      </c>
      <c r="K369" s="26" t="str">
        <f t="shared" ca="1" si="17"/>
        <v/>
      </c>
      <c r="L369" s="27" t="s">
        <v>1567</v>
      </c>
      <c r="M369" s="26" t="str">
        <f ca="1">IF(L369&lt;&gt;"","Entregado",IF(NOT(ISNUMBER(IF(Q369&lt;&gt;"",Q369,I369))),"REVISAR TE",IF(AND(ISNUMBER(Resumen!$B$3),IF(Q369&lt;&gt;"",Q369,I369)&lt;Resumen!$B$3),"REVISAR",IF(IF(Q369&lt;&gt;"",Q369,I369)&lt;TODAY(),"ATRASADO",IF(IF(Q369&lt;&gt;"",Q369,I369)-TODAY()&lt;=2,"POR VENCER","EN TIEMPO")))))</f>
        <v>Entregado</v>
      </c>
      <c r="N369" s="23" t="s">
        <v>245</v>
      </c>
      <c r="P369" s="23" t="s">
        <v>763</v>
      </c>
      <c r="Q369" s="28"/>
    </row>
    <row r="370" spans="1:17" ht="16.5" hidden="1" x14ac:dyDescent="0.3">
      <c r="A370" s="23" t="s">
        <v>761</v>
      </c>
      <c r="B370" s="23" t="s">
        <v>53</v>
      </c>
      <c r="C370" s="23" t="s">
        <v>767</v>
      </c>
      <c r="D370" s="24">
        <v>46157</v>
      </c>
      <c r="E370" s="25">
        <v>5</v>
      </c>
      <c r="F370" s="24">
        <v>46157</v>
      </c>
      <c r="G370" s="23" t="s">
        <v>361</v>
      </c>
      <c r="H370" s="26">
        <v>49</v>
      </c>
      <c r="I370" s="24">
        <f t="shared" si="15"/>
        <v>46206</v>
      </c>
      <c r="J370" s="26">
        <f t="shared" ca="1" si="16"/>
        <v>-98</v>
      </c>
      <c r="K370" s="26" t="str">
        <f t="shared" ca="1" si="17"/>
        <v/>
      </c>
      <c r="L370" s="27" t="s">
        <v>1567</v>
      </c>
      <c r="M370" s="26" t="str">
        <f ca="1">IF(L370&lt;&gt;"","Entregado",IF(NOT(ISNUMBER(IF(Q370&lt;&gt;"",Q370,I370))),"REVISAR TE",IF(AND(ISNUMBER(Resumen!$B$3),IF(Q370&lt;&gt;"",Q370,I370)&lt;Resumen!$B$3),"REVISAR",IF(IF(Q370&lt;&gt;"",Q370,I370)&lt;TODAY(),"ATRASADO",IF(IF(Q370&lt;&gt;"",Q370,I370)-TODAY()&lt;=2,"POR VENCER","EN TIEMPO")))))</f>
        <v>Entregado</v>
      </c>
      <c r="N370" s="23" t="s">
        <v>94</v>
      </c>
      <c r="P370" s="23" t="s">
        <v>763</v>
      </c>
      <c r="Q370" s="28"/>
    </row>
    <row r="371" spans="1:17" ht="16.5" hidden="1" x14ac:dyDescent="0.3">
      <c r="A371" s="23" t="s">
        <v>761</v>
      </c>
      <c r="B371" s="23" t="s">
        <v>53</v>
      </c>
      <c r="C371" s="23" t="s">
        <v>768</v>
      </c>
      <c r="D371" s="24">
        <v>46157</v>
      </c>
      <c r="E371" s="25">
        <v>1</v>
      </c>
      <c r="F371" s="24">
        <v>46157</v>
      </c>
      <c r="G371" s="23" t="s">
        <v>361</v>
      </c>
      <c r="H371" s="26">
        <v>49</v>
      </c>
      <c r="I371" s="24">
        <f t="shared" si="15"/>
        <v>46206</v>
      </c>
      <c r="J371" s="26">
        <f t="shared" ca="1" si="16"/>
        <v>-98</v>
      </c>
      <c r="K371" s="26" t="str">
        <f t="shared" ca="1" si="17"/>
        <v/>
      </c>
      <c r="L371" s="27" t="s">
        <v>1567</v>
      </c>
      <c r="M371" s="26" t="str">
        <f ca="1">IF(L371&lt;&gt;"","Entregado",IF(NOT(ISNUMBER(IF(Q371&lt;&gt;"",Q371,I371))),"REVISAR TE",IF(AND(ISNUMBER(Resumen!$B$3),IF(Q371&lt;&gt;"",Q371,I371)&lt;Resumen!$B$3),"REVISAR",IF(IF(Q371&lt;&gt;"",Q371,I371)&lt;TODAY(),"ATRASADO",IF(IF(Q371&lt;&gt;"",Q371,I371)-TODAY()&lt;=2,"POR VENCER","EN TIEMPO")))))</f>
        <v>Entregado</v>
      </c>
      <c r="N371" s="23" t="s">
        <v>245</v>
      </c>
      <c r="P371" s="23" t="s">
        <v>763</v>
      </c>
      <c r="Q371" s="28"/>
    </row>
    <row r="372" spans="1:17" ht="16.5" hidden="1" x14ac:dyDescent="0.3">
      <c r="A372" s="23" t="s">
        <v>761</v>
      </c>
      <c r="B372" s="23" t="s">
        <v>53</v>
      </c>
      <c r="C372" s="23" t="s">
        <v>769</v>
      </c>
      <c r="D372" s="24">
        <v>46157</v>
      </c>
      <c r="E372" s="25">
        <v>1</v>
      </c>
      <c r="F372" s="24">
        <v>46157</v>
      </c>
      <c r="G372" s="23" t="s">
        <v>361</v>
      </c>
      <c r="H372" s="26">
        <v>49</v>
      </c>
      <c r="I372" s="24">
        <f t="shared" si="15"/>
        <v>46206</v>
      </c>
      <c r="J372" s="26">
        <f t="shared" ca="1" si="16"/>
        <v>-98</v>
      </c>
      <c r="K372" s="26" t="str">
        <f t="shared" ca="1" si="17"/>
        <v/>
      </c>
      <c r="L372" s="27" t="s">
        <v>1567</v>
      </c>
      <c r="M372" s="26" t="str">
        <f ca="1">IF(L372&lt;&gt;"","Entregado",IF(NOT(ISNUMBER(IF(Q372&lt;&gt;"",Q372,I372))),"REVISAR TE",IF(AND(ISNUMBER(Resumen!$B$3),IF(Q372&lt;&gt;"",Q372,I372)&lt;Resumen!$B$3),"REVISAR",IF(IF(Q372&lt;&gt;"",Q372,I372)&lt;TODAY(),"ATRASADO",IF(IF(Q372&lt;&gt;"",Q372,I372)-TODAY()&lt;=2,"POR VENCER","EN TIEMPO")))))</f>
        <v>Entregado</v>
      </c>
      <c r="N372" s="23" t="s">
        <v>245</v>
      </c>
      <c r="P372" s="23" t="s">
        <v>763</v>
      </c>
      <c r="Q372" s="28"/>
    </row>
    <row r="373" spans="1:17" ht="16.5" hidden="1" x14ac:dyDescent="0.3">
      <c r="A373" s="23" t="s">
        <v>761</v>
      </c>
      <c r="B373" s="23" t="s">
        <v>53</v>
      </c>
      <c r="C373" s="23" t="s">
        <v>770</v>
      </c>
      <c r="D373" s="24">
        <v>46157</v>
      </c>
      <c r="E373" s="25">
        <v>1</v>
      </c>
      <c r="F373" s="24">
        <v>46157</v>
      </c>
      <c r="G373" s="23" t="s">
        <v>361</v>
      </c>
      <c r="H373" s="26">
        <v>49</v>
      </c>
      <c r="I373" s="24">
        <f t="shared" si="15"/>
        <v>46206</v>
      </c>
      <c r="J373" s="26">
        <f t="shared" ca="1" si="16"/>
        <v>-98</v>
      </c>
      <c r="K373" s="26" t="str">
        <f t="shared" ca="1" si="17"/>
        <v/>
      </c>
      <c r="L373" s="27" t="s">
        <v>1567</v>
      </c>
      <c r="M373" s="26" t="str">
        <f ca="1">IF(L373&lt;&gt;"","Entregado",IF(NOT(ISNUMBER(IF(Q373&lt;&gt;"",Q373,I373))),"REVISAR TE",IF(AND(ISNUMBER(Resumen!$B$3),IF(Q373&lt;&gt;"",Q373,I373)&lt;Resumen!$B$3),"REVISAR",IF(IF(Q373&lt;&gt;"",Q373,I373)&lt;TODAY(),"ATRASADO",IF(IF(Q373&lt;&gt;"",Q373,I373)-TODAY()&lt;=2,"POR VENCER","EN TIEMPO")))))</f>
        <v>Entregado</v>
      </c>
      <c r="N373" s="23" t="s">
        <v>245</v>
      </c>
      <c r="P373" s="23" t="s">
        <v>763</v>
      </c>
      <c r="Q373" s="28"/>
    </row>
    <row r="374" spans="1:17" ht="16.5" hidden="1" x14ac:dyDescent="0.3">
      <c r="A374" s="23" t="s">
        <v>761</v>
      </c>
      <c r="B374" s="23" t="s">
        <v>53</v>
      </c>
      <c r="C374" s="23" t="s">
        <v>771</v>
      </c>
      <c r="D374" s="24">
        <v>46157</v>
      </c>
      <c r="E374" s="25">
        <v>5</v>
      </c>
      <c r="F374" s="24">
        <v>46157</v>
      </c>
      <c r="G374" s="23" t="s">
        <v>361</v>
      </c>
      <c r="H374" s="26">
        <v>49</v>
      </c>
      <c r="I374" s="24">
        <f t="shared" si="15"/>
        <v>46206</v>
      </c>
      <c r="J374" s="26">
        <f t="shared" ca="1" si="16"/>
        <v>-98</v>
      </c>
      <c r="K374" s="26" t="str">
        <f t="shared" ca="1" si="17"/>
        <v/>
      </c>
      <c r="L374" s="27" t="s">
        <v>1567</v>
      </c>
      <c r="M374" s="26" t="str">
        <f ca="1">IF(L374&lt;&gt;"","Entregado",IF(NOT(ISNUMBER(IF(Q374&lt;&gt;"",Q374,I374))),"REVISAR TE",IF(AND(ISNUMBER(Resumen!$B$3),IF(Q374&lt;&gt;"",Q374,I374)&lt;Resumen!$B$3),"REVISAR",IF(IF(Q374&lt;&gt;"",Q374,I374)&lt;TODAY(),"ATRASADO",IF(IF(Q374&lt;&gt;"",Q374,I374)-TODAY()&lt;=2,"POR VENCER","EN TIEMPO")))))</f>
        <v>Entregado</v>
      </c>
      <c r="N374" s="23" t="s">
        <v>94</v>
      </c>
      <c r="P374" s="23" t="s">
        <v>763</v>
      </c>
      <c r="Q374" s="28"/>
    </row>
    <row r="375" spans="1:17" ht="16.5" hidden="1" x14ac:dyDescent="0.3">
      <c r="A375" s="23" t="s">
        <v>761</v>
      </c>
      <c r="B375" s="23" t="s">
        <v>53</v>
      </c>
      <c r="C375" s="23" t="s">
        <v>772</v>
      </c>
      <c r="D375" s="24">
        <v>46157</v>
      </c>
      <c r="E375" s="25">
        <v>1</v>
      </c>
      <c r="F375" s="24">
        <v>46157</v>
      </c>
      <c r="G375" s="23" t="s">
        <v>361</v>
      </c>
      <c r="H375" s="26">
        <v>49</v>
      </c>
      <c r="I375" s="24">
        <f t="shared" si="15"/>
        <v>46206</v>
      </c>
      <c r="J375" s="26">
        <f t="shared" ca="1" si="16"/>
        <v>-98</v>
      </c>
      <c r="K375" s="26" t="str">
        <f t="shared" ca="1" si="17"/>
        <v/>
      </c>
      <c r="L375" s="27" t="s">
        <v>1567</v>
      </c>
      <c r="M375" s="26" t="str">
        <f ca="1">IF(L375&lt;&gt;"","Entregado",IF(NOT(ISNUMBER(IF(Q375&lt;&gt;"",Q375,I375))),"REVISAR TE",IF(AND(ISNUMBER(Resumen!$B$3),IF(Q375&lt;&gt;"",Q375,I375)&lt;Resumen!$B$3),"REVISAR",IF(IF(Q375&lt;&gt;"",Q375,I375)&lt;TODAY(),"ATRASADO",IF(IF(Q375&lt;&gt;"",Q375,I375)-TODAY()&lt;=2,"POR VENCER","EN TIEMPO")))))</f>
        <v>Entregado</v>
      </c>
      <c r="N375" s="23" t="s">
        <v>245</v>
      </c>
      <c r="P375" s="23" t="s">
        <v>763</v>
      </c>
      <c r="Q375" s="28"/>
    </row>
    <row r="376" spans="1:17" ht="16.5" hidden="1" x14ac:dyDescent="0.3">
      <c r="A376" s="23" t="s">
        <v>761</v>
      </c>
      <c r="B376" s="23" t="s">
        <v>53</v>
      </c>
      <c r="C376" s="23" t="s">
        <v>773</v>
      </c>
      <c r="D376" s="24">
        <v>46157</v>
      </c>
      <c r="E376" s="25">
        <v>1</v>
      </c>
      <c r="F376" s="24">
        <v>46157</v>
      </c>
      <c r="G376" s="23" t="s">
        <v>361</v>
      </c>
      <c r="H376" s="26">
        <v>49</v>
      </c>
      <c r="I376" s="24">
        <f t="shared" si="15"/>
        <v>46206</v>
      </c>
      <c r="J376" s="26">
        <f t="shared" ca="1" si="16"/>
        <v>-98</v>
      </c>
      <c r="K376" s="26" t="str">
        <f t="shared" ca="1" si="17"/>
        <v/>
      </c>
      <c r="L376" s="27" t="s">
        <v>1567</v>
      </c>
      <c r="M376" s="26" t="str">
        <f ca="1">IF(L376&lt;&gt;"","Entregado",IF(NOT(ISNUMBER(IF(Q376&lt;&gt;"",Q376,I376))),"REVISAR TE",IF(AND(ISNUMBER(Resumen!$B$3),IF(Q376&lt;&gt;"",Q376,I376)&lt;Resumen!$B$3),"REVISAR",IF(IF(Q376&lt;&gt;"",Q376,I376)&lt;TODAY(),"ATRASADO",IF(IF(Q376&lt;&gt;"",Q376,I376)-TODAY()&lt;=2,"POR VENCER","EN TIEMPO")))))</f>
        <v>Entregado</v>
      </c>
      <c r="N376" s="23" t="s">
        <v>245</v>
      </c>
      <c r="P376" s="23" t="s">
        <v>763</v>
      </c>
      <c r="Q376" s="28"/>
    </row>
    <row r="377" spans="1:17" ht="16.5" hidden="1" x14ac:dyDescent="0.3">
      <c r="A377" s="23" t="s">
        <v>761</v>
      </c>
      <c r="B377" s="23" t="s">
        <v>53</v>
      </c>
      <c r="C377" s="23" t="s">
        <v>774</v>
      </c>
      <c r="D377" s="24">
        <v>46157</v>
      </c>
      <c r="E377" s="25">
        <v>1</v>
      </c>
      <c r="F377" s="24">
        <v>46157</v>
      </c>
      <c r="G377" s="23" t="s">
        <v>361</v>
      </c>
      <c r="H377" s="26">
        <v>49</v>
      </c>
      <c r="I377" s="24">
        <f t="shared" si="15"/>
        <v>46206</v>
      </c>
      <c r="J377" s="26">
        <f t="shared" ca="1" si="16"/>
        <v>-98</v>
      </c>
      <c r="K377" s="26" t="str">
        <f t="shared" ca="1" si="17"/>
        <v/>
      </c>
      <c r="L377" s="27" t="s">
        <v>1567</v>
      </c>
      <c r="M377" s="26" t="str">
        <f ca="1">IF(L377&lt;&gt;"","Entregado",IF(NOT(ISNUMBER(IF(Q377&lt;&gt;"",Q377,I377))),"REVISAR TE",IF(AND(ISNUMBER(Resumen!$B$3),IF(Q377&lt;&gt;"",Q377,I377)&lt;Resumen!$B$3),"REVISAR",IF(IF(Q377&lt;&gt;"",Q377,I377)&lt;TODAY(),"ATRASADO",IF(IF(Q377&lt;&gt;"",Q377,I377)-TODAY()&lt;=2,"POR VENCER","EN TIEMPO")))))</f>
        <v>Entregado</v>
      </c>
      <c r="N377" s="23" t="s">
        <v>245</v>
      </c>
      <c r="P377" s="23" t="s">
        <v>763</v>
      </c>
      <c r="Q377" s="28"/>
    </row>
    <row r="378" spans="1:17" ht="16.5" hidden="1" x14ac:dyDescent="0.3">
      <c r="A378" s="23" t="s">
        <v>775</v>
      </c>
      <c r="B378" s="23" t="s">
        <v>52</v>
      </c>
      <c r="C378" s="23" t="s">
        <v>777</v>
      </c>
      <c r="D378" s="24">
        <v>46160</v>
      </c>
      <c r="E378" s="25">
        <v>23</v>
      </c>
      <c r="F378" s="24">
        <v>46160</v>
      </c>
      <c r="G378" s="23" t="s">
        <v>747</v>
      </c>
      <c r="H378" s="26">
        <v>1</v>
      </c>
      <c r="I378" s="24">
        <f t="shared" si="15"/>
        <v>46161</v>
      </c>
      <c r="J378" s="26">
        <f t="shared" ca="1" si="16"/>
        <v>-143</v>
      </c>
      <c r="K378" s="26" t="str">
        <f t="shared" ca="1" si="17"/>
        <v/>
      </c>
      <c r="L378" s="27" t="s">
        <v>1567</v>
      </c>
      <c r="M378" s="26" t="str">
        <f ca="1">IF(L378&lt;&gt;"","Entregado",IF(NOT(ISNUMBER(IF(Q378&lt;&gt;"",Q378,I378))),"REVISAR TE",IF(AND(ISNUMBER(Resumen!$B$3),IF(Q378&lt;&gt;"",Q378,I378)&lt;Resumen!$B$3),"REVISAR",IF(IF(Q378&lt;&gt;"",Q378,I378)&lt;TODAY(),"ATRASADO",IF(IF(Q378&lt;&gt;"",Q378,I378)-TODAY()&lt;=2,"POR VENCER","EN TIEMPO")))))</f>
        <v>Entregado</v>
      </c>
      <c r="N378" s="23" t="s">
        <v>776</v>
      </c>
      <c r="P378" s="23" t="s">
        <v>778</v>
      </c>
      <c r="Q378" s="28"/>
    </row>
    <row r="379" spans="1:17" ht="16.5" hidden="1" x14ac:dyDescent="0.3">
      <c r="A379" s="23" t="s">
        <v>779</v>
      </c>
      <c r="B379" s="23" t="s">
        <v>53</v>
      </c>
      <c r="C379" s="23" t="s">
        <v>780</v>
      </c>
      <c r="D379" s="24">
        <v>46161</v>
      </c>
      <c r="E379" s="25">
        <v>5</v>
      </c>
      <c r="F379" s="24">
        <v>46161</v>
      </c>
      <c r="G379" s="23" t="s">
        <v>137</v>
      </c>
      <c r="H379" s="26">
        <v>28</v>
      </c>
      <c r="I379" s="24">
        <f t="shared" si="15"/>
        <v>46189</v>
      </c>
      <c r="J379" s="26">
        <f t="shared" ca="1" si="16"/>
        <v>-115</v>
      </c>
      <c r="K379" s="26" t="str">
        <f t="shared" ca="1" si="17"/>
        <v/>
      </c>
      <c r="L379" s="27" t="s">
        <v>1567</v>
      </c>
      <c r="M379" s="26" t="str">
        <f ca="1">IF(L379&lt;&gt;"","Entregado",IF(NOT(ISNUMBER(IF(Q379&lt;&gt;"",Q379,I379))),"REVISAR TE",IF(AND(ISNUMBER(Resumen!$B$3),IF(Q379&lt;&gt;"",Q379,I379)&lt;Resumen!$B$3),"REVISAR",IF(IF(Q379&lt;&gt;"",Q379,I379)&lt;TODAY(),"ATRASADO",IF(IF(Q379&lt;&gt;"",Q379,I379)-TODAY()&lt;=2,"POR VENCER","EN TIEMPO")))))</f>
        <v>Entregado</v>
      </c>
      <c r="N379" s="23" t="s">
        <v>94</v>
      </c>
      <c r="P379" s="23" t="s">
        <v>781</v>
      </c>
      <c r="Q379" s="28"/>
    </row>
    <row r="380" spans="1:17" ht="16.5" hidden="1" x14ac:dyDescent="0.3">
      <c r="A380" s="23" t="s">
        <v>779</v>
      </c>
      <c r="B380" s="23" t="s">
        <v>53</v>
      </c>
      <c r="C380" s="23" t="s">
        <v>782</v>
      </c>
      <c r="D380" s="24">
        <v>46161</v>
      </c>
      <c r="E380" s="25">
        <v>1</v>
      </c>
      <c r="F380" s="24">
        <v>46161</v>
      </c>
      <c r="G380" s="23" t="s">
        <v>137</v>
      </c>
      <c r="H380" s="26">
        <v>28</v>
      </c>
      <c r="I380" s="24">
        <f t="shared" si="15"/>
        <v>46189</v>
      </c>
      <c r="J380" s="26">
        <f t="shared" ca="1" si="16"/>
        <v>-115</v>
      </c>
      <c r="K380" s="26" t="str">
        <f t="shared" ca="1" si="17"/>
        <v/>
      </c>
      <c r="L380" s="27" t="s">
        <v>1567</v>
      </c>
      <c r="M380" s="26" t="str">
        <f ca="1">IF(L380&lt;&gt;"","Entregado",IF(NOT(ISNUMBER(IF(Q380&lt;&gt;"",Q380,I380))),"REVISAR TE",IF(AND(ISNUMBER(Resumen!$B$3),IF(Q380&lt;&gt;"",Q380,I380)&lt;Resumen!$B$3),"REVISAR",IF(IF(Q380&lt;&gt;"",Q380,I380)&lt;TODAY(),"ATRASADO",IF(IF(Q380&lt;&gt;"",Q380,I380)-TODAY()&lt;=2,"POR VENCER","EN TIEMPO")))))</f>
        <v>Entregado</v>
      </c>
      <c r="N380" s="23" t="s">
        <v>245</v>
      </c>
      <c r="P380" s="23" t="s">
        <v>781</v>
      </c>
      <c r="Q380" s="28"/>
    </row>
    <row r="381" spans="1:17" ht="16.5" hidden="1" x14ac:dyDescent="0.3">
      <c r="A381" s="23" t="s">
        <v>779</v>
      </c>
      <c r="B381" s="23" t="s">
        <v>53</v>
      </c>
      <c r="C381" s="23" t="s">
        <v>783</v>
      </c>
      <c r="D381" s="24">
        <v>46161</v>
      </c>
      <c r="E381" s="25">
        <v>1</v>
      </c>
      <c r="F381" s="24">
        <v>46161</v>
      </c>
      <c r="G381" s="23" t="s">
        <v>137</v>
      </c>
      <c r="H381" s="26">
        <v>28</v>
      </c>
      <c r="I381" s="24">
        <f t="shared" si="15"/>
        <v>46189</v>
      </c>
      <c r="J381" s="26">
        <f t="shared" ca="1" si="16"/>
        <v>-115</v>
      </c>
      <c r="K381" s="26" t="str">
        <f t="shared" ca="1" si="17"/>
        <v/>
      </c>
      <c r="L381" s="27" t="s">
        <v>1567</v>
      </c>
      <c r="M381" s="26" t="str">
        <f ca="1">IF(L381&lt;&gt;"","Entregado",IF(NOT(ISNUMBER(IF(Q381&lt;&gt;"",Q381,I381))),"REVISAR TE",IF(AND(ISNUMBER(Resumen!$B$3),IF(Q381&lt;&gt;"",Q381,I381)&lt;Resumen!$B$3),"REVISAR",IF(IF(Q381&lt;&gt;"",Q381,I381)&lt;TODAY(),"ATRASADO",IF(IF(Q381&lt;&gt;"",Q381,I381)-TODAY()&lt;=2,"POR VENCER","EN TIEMPO")))))</f>
        <v>Entregado</v>
      </c>
      <c r="N381" s="23" t="s">
        <v>245</v>
      </c>
      <c r="P381" s="23" t="s">
        <v>781</v>
      </c>
      <c r="Q381" s="28"/>
    </row>
    <row r="382" spans="1:17" ht="16.5" hidden="1" x14ac:dyDescent="0.3">
      <c r="A382" s="23" t="s">
        <v>779</v>
      </c>
      <c r="B382" s="23" t="s">
        <v>53</v>
      </c>
      <c r="C382" s="23" t="s">
        <v>784</v>
      </c>
      <c r="D382" s="24">
        <v>46161</v>
      </c>
      <c r="E382" s="25">
        <v>1</v>
      </c>
      <c r="F382" s="24">
        <v>46161</v>
      </c>
      <c r="G382" s="23" t="s">
        <v>137</v>
      </c>
      <c r="H382" s="26">
        <v>28</v>
      </c>
      <c r="I382" s="24">
        <f t="shared" si="15"/>
        <v>46189</v>
      </c>
      <c r="J382" s="26">
        <f t="shared" ca="1" si="16"/>
        <v>-115</v>
      </c>
      <c r="K382" s="26" t="str">
        <f t="shared" ca="1" si="17"/>
        <v/>
      </c>
      <c r="L382" s="27" t="s">
        <v>1567</v>
      </c>
      <c r="M382" s="26" t="str">
        <f ca="1">IF(L382&lt;&gt;"","Entregado",IF(NOT(ISNUMBER(IF(Q382&lt;&gt;"",Q382,I382))),"REVISAR TE",IF(AND(ISNUMBER(Resumen!$B$3),IF(Q382&lt;&gt;"",Q382,I382)&lt;Resumen!$B$3),"REVISAR",IF(IF(Q382&lt;&gt;"",Q382,I382)&lt;TODAY(),"ATRASADO",IF(IF(Q382&lt;&gt;"",Q382,I382)-TODAY()&lt;=2,"POR VENCER","EN TIEMPO")))))</f>
        <v>Entregado</v>
      </c>
      <c r="N382" s="23" t="s">
        <v>245</v>
      </c>
      <c r="P382" s="23" t="s">
        <v>781</v>
      </c>
      <c r="Q382" s="28"/>
    </row>
    <row r="383" spans="1:17" ht="16.5" hidden="1" x14ac:dyDescent="0.3">
      <c r="A383" s="23" t="s">
        <v>779</v>
      </c>
      <c r="B383" s="23" t="s">
        <v>53</v>
      </c>
      <c r="C383" s="23" t="s">
        <v>785</v>
      </c>
      <c r="D383" s="24">
        <v>46161</v>
      </c>
      <c r="E383" s="25">
        <v>5</v>
      </c>
      <c r="F383" s="24">
        <v>46161</v>
      </c>
      <c r="G383" s="23" t="s">
        <v>137</v>
      </c>
      <c r="H383" s="26">
        <v>28</v>
      </c>
      <c r="I383" s="24">
        <f t="shared" si="15"/>
        <v>46189</v>
      </c>
      <c r="J383" s="26">
        <f t="shared" ca="1" si="16"/>
        <v>-115</v>
      </c>
      <c r="K383" s="26" t="str">
        <f t="shared" ca="1" si="17"/>
        <v/>
      </c>
      <c r="L383" s="27" t="s">
        <v>1567</v>
      </c>
      <c r="M383" s="26" t="str">
        <f ca="1">IF(L383&lt;&gt;"","Entregado",IF(NOT(ISNUMBER(IF(Q383&lt;&gt;"",Q383,I383))),"REVISAR TE",IF(AND(ISNUMBER(Resumen!$B$3),IF(Q383&lt;&gt;"",Q383,I383)&lt;Resumen!$B$3),"REVISAR",IF(IF(Q383&lt;&gt;"",Q383,I383)&lt;TODAY(),"ATRASADO",IF(IF(Q383&lt;&gt;"",Q383,I383)-TODAY()&lt;=2,"POR VENCER","EN TIEMPO")))))</f>
        <v>Entregado</v>
      </c>
      <c r="N383" s="23" t="s">
        <v>94</v>
      </c>
      <c r="P383" s="23" t="s">
        <v>781</v>
      </c>
      <c r="Q383" s="28"/>
    </row>
    <row r="384" spans="1:17" ht="16.5" hidden="1" x14ac:dyDescent="0.3">
      <c r="A384" s="23" t="s">
        <v>779</v>
      </c>
      <c r="B384" s="23" t="s">
        <v>53</v>
      </c>
      <c r="C384" s="23" t="s">
        <v>786</v>
      </c>
      <c r="D384" s="24">
        <v>46161</v>
      </c>
      <c r="E384" s="25">
        <v>1</v>
      </c>
      <c r="F384" s="24">
        <v>46161</v>
      </c>
      <c r="G384" s="23" t="s">
        <v>137</v>
      </c>
      <c r="H384" s="26">
        <v>28</v>
      </c>
      <c r="I384" s="24">
        <f t="shared" si="15"/>
        <v>46189</v>
      </c>
      <c r="J384" s="26">
        <f t="shared" ca="1" si="16"/>
        <v>-115</v>
      </c>
      <c r="K384" s="26" t="str">
        <f t="shared" ca="1" si="17"/>
        <v/>
      </c>
      <c r="L384" s="27" t="s">
        <v>1567</v>
      </c>
      <c r="M384" s="26" t="str">
        <f ca="1">IF(L384&lt;&gt;"","Entregado",IF(NOT(ISNUMBER(IF(Q384&lt;&gt;"",Q384,I384))),"REVISAR TE",IF(AND(ISNUMBER(Resumen!$B$3),IF(Q384&lt;&gt;"",Q384,I384)&lt;Resumen!$B$3),"REVISAR",IF(IF(Q384&lt;&gt;"",Q384,I384)&lt;TODAY(),"ATRASADO",IF(IF(Q384&lt;&gt;"",Q384,I384)-TODAY()&lt;=2,"POR VENCER","EN TIEMPO")))))</f>
        <v>Entregado</v>
      </c>
      <c r="N384" s="23" t="s">
        <v>245</v>
      </c>
      <c r="P384" s="23" t="s">
        <v>781</v>
      </c>
      <c r="Q384" s="28"/>
    </row>
    <row r="385" spans="1:17" ht="16.5" hidden="1" x14ac:dyDescent="0.3">
      <c r="A385" s="23" t="s">
        <v>779</v>
      </c>
      <c r="B385" s="23" t="s">
        <v>53</v>
      </c>
      <c r="C385" s="23" t="s">
        <v>787</v>
      </c>
      <c r="D385" s="24">
        <v>46161</v>
      </c>
      <c r="E385" s="25">
        <v>1</v>
      </c>
      <c r="F385" s="24">
        <v>46161</v>
      </c>
      <c r="G385" s="23" t="s">
        <v>137</v>
      </c>
      <c r="H385" s="26">
        <v>28</v>
      </c>
      <c r="I385" s="24">
        <f t="shared" si="15"/>
        <v>46189</v>
      </c>
      <c r="J385" s="26">
        <f t="shared" ca="1" si="16"/>
        <v>-115</v>
      </c>
      <c r="K385" s="26" t="str">
        <f t="shared" ca="1" si="17"/>
        <v/>
      </c>
      <c r="L385" s="27" t="s">
        <v>1567</v>
      </c>
      <c r="M385" s="26" t="str">
        <f ca="1">IF(L385&lt;&gt;"","Entregado",IF(NOT(ISNUMBER(IF(Q385&lt;&gt;"",Q385,I385))),"REVISAR TE",IF(AND(ISNUMBER(Resumen!$B$3),IF(Q385&lt;&gt;"",Q385,I385)&lt;Resumen!$B$3),"REVISAR",IF(IF(Q385&lt;&gt;"",Q385,I385)&lt;TODAY(),"ATRASADO",IF(IF(Q385&lt;&gt;"",Q385,I385)-TODAY()&lt;=2,"POR VENCER","EN TIEMPO")))))</f>
        <v>Entregado</v>
      </c>
      <c r="N385" s="23" t="s">
        <v>245</v>
      </c>
      <c r="P385" s="23" t="s">
        <v>781</v>
      </c>
      <c r="Q385" s="28"/>
    </row>
    <row r="386" spans="1:17" ht="16.5" hidden="1" x14ac:dyDescent="0.3">
      <c r="A386" s="23" t="s">
        <v>779</v>
      </c>
      <c r="B386" s="23" t="s">
        <v>53</v>
      </c>
      <c r="C386" s="23" t="s">
        <v>788</v>
      </c>
      <c r="D386" s="24">
        <v>46161</v>
      </c>
      <c r="E386" s="25">
        <v>1</v>
      </c>
      <c r="F386" s="24">
        <v>46161</v>
      </c>
      <c r="G386" s="23" t="s">
        <v>137</v>
      </c>
      <c r="H386" s="26">
        <v>28</v>
      </c>
      <c r="I386" s="24">
        <f t="shared" ref="I386:I449" si="18">IF(AND(D386&lt;&gt;"",H386&lt;&gt;""),D386+H386,"")</f>
        <v>46189</v>
      </c>
      <c r="J386" s="26">
        <f t="shared" ref="J386:J449" ca="1" si="19">I386-TODAY()</f>
        <v>-115</v>
      </c>
      <c r="K386" s="26" t="str">
        <f t="shared" ref="K386:K449" ca="1" si="20">IF(AND(L386="",ISNUMBER(IF(Q386&lt;&gt;"",Q386,I386))),IF(IF(Q386&lt;&gt;"",Q386,I386)&lt;TODAY(),TODAY()-IF(Q386&lt;&gt;"",Q386,I386),""),"")</f>
        <v/>
      </c>
      <c r="L386" s="27" t="s">
        <v>1567</v>
      </c>
      <c r="M386" s="26" t="str">
        <f ca="1">IF(L386&lt;&gt;"","Entregado",IF(NOT(ISNUMBER(IF(Q386&lt;&gt;"",Q386,I386))),"REVISAR TE",IF(AND(ISNUMBER(Resumen!$B$3),IF(Q386&lt;&gt;"",Q386,I386)&lt;Resumen!$B$3),"REVISAR",IF(IF(Q386&lt;&gt;"",Q386,I386)&lt;TODAY(),"ATRASADO",IF(IF(Q386&lt;&gt;"",Q386,I386)-TODAY()&lt;=2,"POR VENCER","EN TIEMPO")))))</f>
        <v>Entregado</v>
      </c>
      <c r="N386" s="23" t="s">
        <v>245</v>
      </c>
      <c r="P386" s="23" t="s">
        <v>781</v>
      </c>
      <c r="Q386" s="28"/>
    </row>
    <row r="387" spans="1:17" ht="16.5" hidden="1" x14ac:dyDescent="0.3">
      <c r="A387" s="23" t="s">
        <v>789</v>
      </c>
      <c r="B387" s="23" t="s">
        <v>54</v>
      </c>
      <c r="C387" s="23" t="s">
        <v>790</v>
      </c>
      <c r="D387" s="24">
        <v>46163</v>
      </c>
      <c r="E387" s="25">
        <v>1</v>
      </c>
      <c r="F387" s="24">
        <v>46163</v>
      </c>
      <c r="G387" s="23" t="s">
        <v>137</v>
      </c>
      <c r="H387" s="26">
        <v>28</v>
      </c>
      <c r="I387" s="24">
        <f t="shared" si="18"/>
        <v>46191</v>
      </c>
      <c r="J387" s="26">
        <f t="shared" ca="1" si="19"/>
        <v>-113</v>
      </c>
      <c r="K387" s="26" t="str">
        <f t="shared" ca="1" si="20"/>
        <v/>
      </c>
      <c r="L387" s="27" t="s">
        <v>1567</v>
      </c>
      <c r="M387" s="26" t="str">
        <f ca="1">IF(L387&lt;&gt;"","Entregado",IF(NOT(ISNUMBER(IF(Q387&lt;&gt;"",Q387,I387))),"REVISAR TE",IF(AND(ISNUMBER(Resumen!$B$3),IF(Q387&lt;&gt;"",Q387,I387)&lt;Resumen!$B$3),"REVISAR",IF(IF(Q387&lt;&gt;"",Q387,I387)&lt;TODAY(),"ATRASADO",IF(IF(Q387&lt;&gt;"",Q387,I387)-TODAY()&lt;=2,"POR VENCER","EN TIEMPO")))))</f>
        <v>Entregado</v>
      </c>
      <c r="N387" s="23" t="s">
        <v>84</v>
      </c>
      <c r="P387" s="23" t="s">
        <v>791</v>
      </c>
      <c r="Q387" s="28"/>
    </row>
    <row r="388" spans="1:17" ht="16.5" hidden="1" x14ac:dyDescent="0.3">
      <c r="A388" s="23" t="s">
        <v>792</v>
      </c>
      <c r="B388" s="23" t="s">
        <v>53</v>
      </c>
      <c r="C388" s="23" t="s">
        <v>793</v>
      </c>
      <c r="D388" s="24">
        <v>46163</v>
      </c>
      <c r="E388" s="25">
        <v>1</v>
      </c>
      <c r="F388" s="24">
        <v>46163</v>
      </c>
      <c r="G388" s="23" t="s">
        <v>156</v>
      </c>
      <c r="H388" s="26">
        <v>21</v>
      </c>
      <c r="I388" s="24">
        <f t="shared" si="18"/>
        <v>46184</v>
      </c>
      <c r="J388" s="26">
        <f t="shared" ca="1" si="19"/>
        <v>-120</v>
      </c>
      <c r="K388" s="26" t="str">
        <f t="shared" ca="1" si="20"/>
        <v/>
      </c>
      <c r="L388" s="27" t="s">
        <v>1567</v>
      </c>
      <c r="M388" s="26" t="str">
        <f ca="1">IF(L388&lt;&gt;"","Entregado",IF(NOT(ISNUMBER(IF(Q388&lt;&gt;"",Q388,I388))),"REVISAR TE",IF(AND(ISNUMBER(Resumen!$B$3),IF(Q388&lt;&gt;"",Q388,I388)&lt;Resumen!$B$3),"REVISAR",IF(IF(Q388&lt;&gt;"",Q388,I388)&lt;TODAY(),"ATRASADO",IF(IF(Q388&lt;&gt;"",Q388,I388)-TODAY()&lt;=2,"POR VENCER","EN TIEMPO")))))</f>
        <v>Entregado</v>
      </c>
      <c r="N388" s="23" t="s">
        <v>672</v>
      </c>
      <c r="P388" s="23" t="s">
        <v>794</v>
      </c>
      <c r="Q388" s="28"/>
    </row>
    <row r="389" spans="1:17" ht="16.5" hidden="1" x14ac:dyDescent="0.3">
      <c r="A389" s="23" t="s">
        <v>795</v>
      </c>
      <c r="B389" s="23" t="s">
        <v>63</v>
      </c>
      <c r="C389" s="23" t="s">
        <v>797</v>
      </c>
      <c r="D389" s="24">
        <v>46168</v>
      </c>
      <c r="E389" s="25">
        <v>1</v>
      </c>
      <c r="F389" s="24">
        <v>46168</v>
      </c>
      <c r="G389" s="23" t="s">
        <v>103</v>
      </c>
      <c r="H389" s="26">
        <v>35</v>
      </c>
      <c r="I389" s="24">
        <f t="shared" si="18"/>
        <v>46203</v>
      </c>
      <c r="J389" s="26">
        <f t="shared" ca="1" si="19"/>
        <v>-101</v>
      </c>
      <c r="K389" s="26" t="str">
        <f t="shared" ca="1" si="20"/>
        <v/>
      </c>
      <c r="L389" s="27" t="s">
        <v>1567</v>
      </c>
      <c r="M389" s="26" t="str">
        <f ca="1">IF(L389&lt;&gt;"","Entregado",IF(NOT(ISNUMBER(IF(Q389&lt;&gt;"",Q389,I389))),"REVISAR TE",IF(AND(ISNUMBER(Resumen!$B$3),IF(Q389&lt;&gt;"",Q389,I389)&lt;Resumen!$B$3),"REVISAR",IF(IF(Q389&lt;&gt;"",Q389,I389)&lt;TODAY(),"ATRASADO",IF(IF(Q389&lt;&gt;"",Q389,I389)-TODAY()&lt;=2,"POR VENCER","EN TIEMPO")))))</f>
        <v>Entregado</v>
      </c>
      <c r="N389" s="23" t="s">
        <v>796</v>
      </c>
      <c r="P389" s="23" t="s">
        <v>798</v>
      </c>
      <c r="Q389" s="28"/>
    </row>
    <row r="390" spans="1:17" ht="16.5" hidden="1" x14ac:dyDescent="0.3">
      <c r="A390" s="23" t="s">
        <v>799</v>
      </c>
      <c r="B390" s="23" t="s">
        <v>56</v>
      </c>
      <c r="C390" s="23" t="s">
        <v>800</v>
      </c>
      <c r="D390" s="24">
        <v>46169</v>
      </c>
      <c r="E390" s="25">
        <v>2</v>
      </c>
      <c r="F390" s="24">
        <v>46169</v>
      </c>
      <c r="G390" s="23" t="s">
        <v>171</v>
      </c>
      <c r="H390" s="26">
        <v>7</v>
      </c>
      <c r="I390" s="24">
        <f t="shared" si="18"/>
        <v>46176</v>
      </c>
      <c r="J390" s="26">
        <f t="shared" ca="1" si="19"/>
        <v>-128</v>
      </c>
      <c r="K390" s="26" t="str">
        <f t="shared" ca="1" si="20"/>
        <v/>
      </c>
      <c r="L390" s="27" t="s">
        <v>1567</v>
      </c>
      <c r="M390" s="26" t="str">
        <f ca="1">IF(L390&lt;&gt;"","Entregado",IF(NOT(ISNUMBER(IF(Q390&lt;&gt;"",Q390,I390))),"REVISAR TE",IF(AND(ISNUMBER(Resumen!$B$3),IF(Q390&lt;&gt;"",Q390,I390)&lt;Resumen!$B$3),"REVISAR",IF(IF(Q390&lt;&gt;"",Q390,I390)&lt;TODAY(),"ATRASADO",IF(IF(Q390&lt;&gt;"",Q390,I390)-TODAY()&lt;=2,"POR VENCER","EN TIEMPO")))))</f>
        <v>Entregado</v>
      </c>
      <c r="N390" s="23" t="s">
        <v>431</v>
      </c>
      <c r="P390" s="23" t="s">
        <v>801</v>
      </c>
      <c r="Q390" s="28"/>
    </row>
    <row r="391" spans="1:17" ht="16.5" hidden="1" x14ac:dyDescent="0.3">
      <c r="A391" s="23" t="s">
        <v>799</v>
      </c>
      <c r="B391" s="23" t="s">
        <v>56</v>
      </c>
      <c r="C391" s="23" t="s">
        <v>802</v>
      </c>
      <c r="D391" s="24">
        <v>46169</v>
      </c>
      <c r="E391" s="25">
        <v>1</v>
      </c>
      <c r="F391" s="24">
        <v>46169</v>
      </c>
      <c r="G391" s="23" t="s">
        <v>171</v>
      </c>
      <c r="H391" s="26">
        <v>7</v>
      </c>
      <c r="I391" s="24">
        <f t="shared" si="18"/>
        <v>46176</v>
      </c>
      <c r="J391" s="26">
        <f t="shared" ca="1" si="19"/>
        <v>-128</v>
      </c>
      <c r="K391" s="26" t="str">
        <f t="shared" ca="1" si="20"/>
        <v/>
      </c>
      <c r="L391" s="27" t="s">
        <v>1567</v>
      </c>
      <c r="M391" s="26" t="str">
        <f ca="1">IF(L391&lt;&gt;"","Entregado",IF(NOT(ISNUMBER(IF(Q391&lt;&gt;"",Q391,I391))),"REVISAR TE",IF(AND(ISNUMBER(Resumen!$B$3),IF(Q391&lt;&gt;"",Q391,I391)&lt;Resumen!$B$3),"REVISAR",IF(IF(Q391&lt;&gt;"",Q391,I391)&lt;TODAY(),"ATRASADO",IF(IF(Q391&lt;&gt;"",Q391,I391)-TODAY()&lt;=2,"POR VENCER","EN TIEMPO")))))</f>
        <v>Entregado</v>
      </c>
      <c r="N391" s="23" t="s">
        <v>89</v>
      </c>
      <c r="P391" s="23" t="s">
        <v>801</v>
      </c>
      <c r="Q391" s="28"/>
    </row>
    <row r="392" spans="1:17" ht="16.5" hidden="1" x14ac:dyDescent="0.3">
      <c r="A392" s="23" t="s">
        <v>799</v>
      </c>
      <c r="B392" s="23" t="s">
        <v>56</v>
      </c>
      <c r="C392" s="23" t="s">
        <v>802</v>
      </c>
      <c r="D392" s="24">
        <v>46169</v>
      </c>
      <c r="E392" s="25">
        <v>1</v>
      </c>
      <c r="F392" s="24">
        <v>46169</v>
      </c>
      <c r="G392" s="23" t="s">
        <v>171</v>
      </c>
      <c r="H392" s="26">
        <v>7</v>
      </c>
      <c r="I392" s="24">
        <f t="shared" si="18"/>
        <v>46176</v>
      </c>
      <c r="J392" s="26">
        <f t="shared" ca="1" si="19"/>
        <v>-128</v>
      </c>
      <c r="K392" s="26" t="str">
        <f t="shared" ca="1" si="20"/>
        <v/>
      </c>
      <c r="L392" s="27" t="s">
        <v>1567</v>
      </c>
      <c r="M392" s="26" t="str">
        <f ca="1">IF(L392&lt;&gt;"","Entregado",IF(NOT(ISNUMBER(IF(Q392&lt;&gt;"",Q392,I392))),"REVISAR TE",IF(AND(ISNUMBER(Resumen!$B$3),IF(Q392&lt;&gt;"",Q392,I392)&lt;Resumen!$B$3),"REVISAR",IF(IF(Q392&lt;&gt;"",Q392,I392)&lt;TODAY(),"ATRASADO",IF(IF(Q392&lt;&gt;"",Q392,I392)-TODAY()&lt;=2,"POR VENCER","EN TIEMPO")))))</f>
        <v>Entregado</v>
      </c>
      <c r="N392" s="23" t="s">
        <v>89</v>
      </c>
      <c r="P392" s="23" t="s">
        <v>801</v>
      </c>
      <c r="Q392" s="28"/>
    </row>
    <row r="393" spans="1:17" ht="16.5" hidden="1" x14ac:dyDescent="0.3">
      <c r="A393" s="23" t="s">
        <v>803</v>
      </c>
      <c r="B393" s="23" t="s">
        <v>53</v>
      </c>
      <c r="C393" s="23" t="s">
        <v>804</v>
      </c>
      <c r="D393" s="24">
        <v>46170</v>
      </c>
      <c r="E393" s="25">
        <v>2</v>
      </c>
      <c r="F393" s="24">
        <v>46170</v>
      </c>
      <c r="G393" s="23"/>
      <c r="H393" s="26"/>
      <c r="I393" s="24" t="str">
        <f t="shared" si="18"/>
        <v/>
      </c>
      <c r="J393" s="26" t="e">
        <f t="shared" ca="1" si="19"/>
        <v>#VALUE!</v>
      </c>
      <c r="K393" s="26" t="str">
        <f t="shared" ca="1" si="20"/>
        <v/>
      </c>
      <c r="L393" s="27" t="s">
        <v>1567</v>
      </c>
      <c r="M393" s="26" t="str">
        <f ca="1">IF(L393&lt;&gt;"","Entregado",IF(NOT(ISNUMBER(IF(Q393&lt;&gt;"",Q393,I393))),"REVISAR TE",IF(AND(ISNUMBER(Resumen!$B$3),IF(Q393&lt;&gt;"",Q393,I393)&lt;Resumen!$B$3),"REVISAR",IF(IF(Q393&lt;&gt;"",Q393,I393)&lt;TODAY(),"ATRASADO",IF(IF(Q393&lt;&gt;"",Q393,I393)-TODAY()&lt;=2,"POR VENCER","EN TIEMPO")))))</f>
        <v>Entregado</v>
      </c>
      <c r="N393" s="23" t="s">
        <v>388</v>
      </c>
      <c r="P393" s="23" t="s">
        <v>805</v>
      </c>
      <c r="Q393" s="28"/>
    </row>
    <row r="394" spans="1:17" ht="16.5" hidden="1" x14ac:dyDescent="0.3">
      <c r="A394" s="23" t="s">
        <v>803</v>
      </c>
      <c r="B394" s="23" t="s">
        <v>53</v>
      </c>
      <c r="C394" s="23" t="s">
        <v>806</v>
      </c>
      <c r="D394" s="24">
        <v>46170</v>
      </c>
      <c r="E394" s="25">
        <v>2</v>
      </c>
      <c r="F394" s="24">
        <v>46170</v>
      </c>
      <c r="G394" s="23"/>
      <c r="H394" s="26"/>
      <c r="I394" s="24" t="str">
        <f t="shared" si="18"/>
        <v/>
      </c>
      <c r="J394" s="26" t="e">
        <f t="shared" ca="1" si="19"/>
        <v>#VALUE!</v>
      </c>
      <c r="K394" s="26" t="str">
        <f t="shared" ca="1" si="20"/>
        <v/>
      </c>
      <c r="L394" s="27" t="s">
        <v>1567</v>
      </c>
      <c r="M394" s="26" t="str">
        <f ca="1">IF(L394&lt;&gt;"","Entregado",IF(NOT(ISNUMBER(IF(Q394&lt;&gt;"",Q394,I394))),"REVISAR TE",IF(AND(ISNUMBER(Resumen!$B$3),IF(Q394&lt;&gt;"",Q394,I394)&lt;Resumen!$B$3),"REVISAR",IF(IF(Q394&lt;&gt;"",Q394,I394)&lt;TODAY(),"ATRASADO",IF(IF(Q394&lt;&gt;"",Q394,I394)-TODAY()&lt;=2,"POR VENCER","EN TIEMPO")))))</f>
        <v>Entregado</v>
      </c>
      <c r="N394" s="23" t="s">
        <v>388</v>
      </c>
      <c r="P394" s="23" t="s">
        <v>805</v>
      </c>
      <c r="Q394" s="28"/>
    </row>
    <row r="395" spans="1:17" ht="16.5" hidden="1" x14ac:dyDescent="0.3">
      <c r="A395" s="23" t="s">
        <v>807</v>
      </c>
      <c r="B395" s="23" t="s">
        <v>52</v>
      </c>
      <c r="C395" s="23" t="s">
        <v>808</v>
      </c>
      <c r="D395" s="24">
        <v>46170</v>
      </c>
      <c r="E395" s="25">
        <v>1</v>
      </c>
      <c r="F395" s="24">
        <v>46170</v>
      </c>
      <c r="G395" s="23" t="s">
        <v>411</v>
      </c>
      <c r="H395" s="26">
        <v>3</v>
      </c>
      <c r="I395" s="24">
        <f t="shared" si="18"/>
        <v>46173</v>
      </c>
      <c r="J395" s="26">
        <f t="shared" ca="1" si="19"/>
        <v>-131</v>
      </c>
      <c r="K395" s="26" t="str">
        <f t="shared" ca="1" si="20"/>
        <v/>
      </c>
      <c r="L395" s="27" t="s">
        <v>1567</v>
      </c>
      <c r="M395" s="26" t="str">
        <f ca="1">IF(L395&lt;&gt;"","Entregado",IF(NOT(ISNUMBER(IF(Q395&lt;&gt;"",Q395,I395))),"REVISAR TE",IF(AND(ISNUMBER(Resumen!$B$3),IF(Q395&lt;&gt;"",Q395,I395)&lt;Resumen!$B$3),"REVISAR",IF(IF(Q395&lt;&gt;"",Q395,I395)&lt;TODAY(),"ATRASADO",IF(IF(Q395&lt;&gt;"",Q395,I395)-TODAY()&lt;=2,"POR VENCER","EN TIEMPO")))))</f>
        <v>Entregado</v>
      </c>
      <c r="N395" s="23" t="s">
        <v>197</v>
      </c>
      <c r="P395" s="23" t="s">
        <v>809</v>
      </c>
      <c r="Q395" s="28"/>
    </row>
    <row r="396" spans="1:17" ht="16.5" hidden="1" x14ac:dyDescent="0.3">
      <c r="A396" s="23" t="s">
        <v>810</v>
      </c>
      <c r="B396" s="23" t="s">
        <v>58</v>
      </c>
      <c r="C396" s="23" t="s">
        <v>811</v>
      </c>
      <c r="D396" s="24">
        <v>46171</v>
      </c>
      <c r="E396" s="25">
        <v>1</v>
      </c>
      <c r="F396" s="24">
        <v>46171</v>
      </c>
      <c r="G396" s="23" t="s">
        <v>196</v>
      </c>
      <c r="H396" s="26">
        <v>10</v>
      </c>
      <c r="I396" s="24">
        <f t="shared" si="18"/>
        <v>46181</v>
      </c>
      <c r="J396" s="26">
        <f t="shared" ca="1" si="19"/>
        <v>-123</v>
      </c>
      <c r="K396" s="26" t="str">
        <f t="shared" ca="1" si="20"/>
        <v/>
      </c>
      <c r="L396" s="27" t="s">
        <v>1567</v>
      </c>
      <c r="M396" s="26" t="str">
        <f ca="1">IF(L396&lt;&gt;"","Entregado",IF(NOT(ISNUMBER(IF(Q396&lt;&gt;"",Q396,I396))),"REVISAR TE",IF(AND(ISNUMBER(Resumen!$B$3),IF(Q396&lt;&gt;"",Q396,I396)&lt;Resumen!$B$3),"REVISAR",IF(IF(Q396&lt;&gt;"",Q396,I396)&lt;TODAY(),"ATRASADO",IF(IF(Q396&lt;&gt;"",Q396,I396)-TODAY()&lt;=2,"POR VENCER","EN TIEMPO")))))</f>
        <v>Entregado</v>
      </c>
      <c r="N396" s="23" t="s">
        <v>216</v>
      </c>
      <c r="P396" s="23" t="s">
        <v>812</v>
      </c>
      <c r="Q396" s="28"/>
    </row>
    <row r="397" spans="1:17" ht="16.5" hidden="1" x14ac:dyDescent="0.3">
      <c r="A397" s="23" t="s">
        <v>810</v>
      </c>
      <c r="B397" s="23" t="s">
        <v>58</v>
      </c>
      <c r="C397" s="23" t="s">
        <v>813</v>
      </c>
      <c r="D397" s="24">
        <v>46171</v>
      </c>
      <c r="E397" s="25">
        <v>1</v>
      </c>
      <c r="F397" s="24">
        <v>46171</v>
      </c>
      <c r="G397" s="23" t="s">
        <v>196</v>
      </c>
      <c r="H397" s="26">
        <v>10</v>
      </c>
      <c r="I397" s="24">
        <f t="shared" si="18"/>
        <v>46181</v>
      </c>
      <c r="J397" s="26">
        <f t="shared" ca="1" si="19"/>
        <v>-123</v>
      </c>
      <c r="K397" s="26" t="str">
        <f t="shared" ca="1" si="20"/>
        <v/>
      </c>
      <c r="L397" s="27" t="s">
        <v>1567</v>
      </c>
      <c r="M397" s="26" t="str">
        <f ca="1">IF(L397&lt;&gt;"","Entregado",IF(NOT(ISNUMBER(IF(Q397&lt;&gt;"",Q397,I397))),"REVISAR TE",IF(AND(ISNUMBER(Resumen!$B$3),IF(Q397&lt;&gt;"",Q397,I397)&lt;Resumen!$B$3),"REVISAR",IF(IF(Q397&lt;&gt;"",Q397,I397)&lt;TODAY(),"ATRASADO",IF(IF(Q397&lt;&gt;"",Q397,I397)-TODAY()&lt;=2,"POR VENCER","EN TIEMPO")))))</f>
        <v>Entregado</v>
      </c>
      <c r="N397" s="23" t="s">
        <v>216</v>
      </c>
      <c r="P397" s="23" t="s">
        <v>812</v>
      </c>
      <c r="Q397" s="28"/>
    </row>
    <row r="398" spans="1:17" ht="16.5" hidden="1" x14ac:dyDescent="0.3">
      <c r="A398" s="23" t="s">
        <v>814</v>
      </c>
      <c r="B398" s="23" t="s">
        <v>63</v>
      </c>
      <c r="C398" s="23" t="s">
        <v>815</v>
      </c>
      <c r="D398" s="24">
        <v>46171</v>
      </c>
      <c r="E398" s="25">
        <v>1</v>
      </c>
      <c r="F398" s="24">
        <v>46171</v>
      </c>
      <c r="G398" s="23" t="s">
        <v>93</v>
      </c>
      <c r="H398" s="26">
        <v>28</v>
      </c>
      <c r="I398" s="24">
        <f t="shared" si="18"/>
        <v>46199</v>
      </c>
      <c r="J398" s="26">
        <f t="shared" ca="1" si="19"/>
        <v>-105</v>
      </c>
      <c r="K398" s="26" t="str">
        <f t="shared" ca="1" si="20"/>
        <v/>
      </c>
      <c r="L398" s="27" t="s">
        <v>1567</v>
      </c>
      <c r="M398" s="26" t="str">
        <f ca="1">IF(L398&lt;&gt;"","Entregado",IF(NOT(ISNUMBER(IF(Q398&lt;&gt;"",Q398,I398))),"REVISAR TE",IF(AND(ISNUMBER(Resumen!$B$3),IF(Q398&lt;&gt;"",Q398,I398)&lt;Resumen!$B$3),"REVISAR",IF(IF(Q398&lt;&gt;"",Q398,I398)&lt;TODAY(),"ATRASADO",IF(IF(Q398&lt;&gt;"",Q398,I398)-TODAY()&lt;=2,"POR VENCER","EN TIEMPO")))))</f>
        <v>Entregado</v>
      </c>
      <c r="N398" s="23" t="s">
        <v>84</v>
      </c>
      <c r="P398" s="23" t="s">
        <v>816</v>
      </c>
      <c r="Q398" s="28"/>
    </row>
    <row r="399" spans="1:17" ht="16.5" hidden="1" x14ac:dyDescent="0.3">
      <c r="A399" s="23" t="s">
        <v>817</v>
      </c>
      <c r="B399" s="23"/>
      <c r="C399" s="23" t="s">
        <v>818</v>
      </c>
      <c r="D399" s="24">
        <v>46171</v>
      </c>
      <c r="E399" s="25">
        <v>12</v>
      </c>
      <c r="F399" s="24">
        <v>46171</v>
      </c>
      <c r="G399" s="23" t="s">
        <v>171</v>
      </c>
      <c r="H399" s="26">
        <v>7</v>
      </c>
      <c r="I399" s="24">
        <f t="shared" si="18"/>
        <v>46178</v>
      </c>
      <c r="J399" s="26">
        <f t="shared" ca="1" si="19"/>
        <v>-126</v>
      </c>
      <c r="K399" s="26" t="str">
        <f t="shared" ca="1" si="20"/>
        <v/>
      </c>
      <c r="L399" s="27" t="s">
        <v>1567</v>
      </c>
      <c r="M399" s="26" t="str">
        <f ca="1">IF(L399&lt;&gt;"","Entregado",IF(NOT(ISNUMBER(IF(Q399&lt;&gt;"",Q399,I399))),"REVISAR TE",IF(AND(ISNUMBER(Resumen!$B$3),IF(Q399&lt;&gt;"",Q399,I399)&lt;Resumen!$B$3),"REVISAR",IF(IF(Q399&lt;&gt;"",Q399,I399)&lt;TODAY(),"ATRASADO",IF(IF(Q399&lt;&gt;"",Q399,I399)-TODAY()&lt;=2,"POR VENCER","EN TIEMPO")))))</f>
        <v>Entregado</v>
      </c>
      <c r="N399" s="23" t="s">
        <v>98</v>
      </c>
      <c r="P399" s="23" t="s">
        <v>819</v>
      </c>
      <c r="Q399" s="28"/>
    </row>
    <row r="400" spans="1:17" ht="16.5" hidden="1" x14ac:dyDescent="0.3">
      <c r="A400" s="23" t="s">
        <v>820</v>
      </c>
      <c r="B400" s="23" t="s">
        <v>52</v>
      </c>
      <c r="C400" s="23" t="s">
        <v>822</v>
      </c>
      <c r="D400" s="24">
        <v>46172</v>
      </c>
      <c r="E400" s="25">
        <v>40</v>
      </c>
      <c r="F400" s="24">
        <v>46172</v>
      </c>
      <c r="G400" s="23" t="s">
        <v>821</v>
      </c>
      <c r="H400" s="26">
        <v>15</v>
      </c>
      <c r="I400" s="24">
        <f t="shared" si="18"/>
        <v>46187</v>
      </c>
      <c r="J400" s="26">
        <f t="shared" ca="1" si="19"/>
        <v>-117</v>
      </c>
      <c r="K400" s="26" t="str">
        <f t="shared" ca="1" si="20"/>
        <v/>
      </c>
      <c r="L400" s="27" t="s">
        <v>1567</v>
      </c>
      <c r="M400" s="26" t="str">
        <f ca="1">IF(L400&lt;&gt;"","Entregado",IF(NOT(ISNUMBER(IF(Q400&lt;&gt;"",Q400,I400))),"REVISAR TE",IF(AND(ISNUMBER(Resumen!$B$3),IF(Q400&lt;&gt;"",Q400,I400)&lt;Resumen!$B$3),"REVISAR",IF(IF(Q400&lt;&gt;"",Q400,I400)&lt;TODAY(),"ATRASADO",IF(IF(Q400&lt;&gt;"",Q400,I400)-TODAY()&lt;=2,"POR VENCER","EN TIEMPO")))))</f>
        <v>Entregado</v>
      </c>
      <c r="N400" s="23" t="s">
        <v>98</v>
      </c>
      <c r="P400" s="23" t="s">
        <v>823</v>
      </c>
      <c r="Q400" s="28"/>
    </row>
    <row r="401" spans="1:17" ht="16.5" hidden="1" x14ac:dyDescent="0.3">
      <c r="A401" s="23" t="s">
        <v>820</v>
      </c>
      <c r="B401" s="23" t="s">
        <v>52</v>
      </c>
      <c r="C401" s="23" t="s">
        <v>824</v>
      </c>
      <c r="D401" s="24">
        <v>46172</v>
      </c>
      <c r="E401" s="25">
        <v>40</v>
      </c>
      <c r="F401" s="24">
        <v>46172</v>
      </c>
      <c r="G401" s="23" t="s">
        <v>821</v>
      </c>
      <c r="H401" s="26">
        <v>15</v>
      </c>
      <c r="I401" s="24">
        <f t="shared" si="18"/>
        <v>46187</v>
      </c>
      <c r="J401" s="26">
        <f t="shared" ca="1" si="19"/>
        <v>-117</v>
      </c>
      <c r="K401" s="26" t="str">
        <f t="shared" ca="1" si="20"/>
        <v/>
      </c>
      <c r="L401" s="27" t="s">
        <v>1567</v>
      </c>
      <c r="M401" s="26" t="str">
        <f ca="1">IF(L401&lt;&gt;"","Entregado",IF(NOT(ISNUMBER(IF(Q401&lt;&gt;"",Q401,I401))),"REVISAR TE",IF(AND(ISNUMBER(Resumen!$B$3),IF(Q401&lt;&gt;"",Q401,I401)&lt;Resumen!$B$3),"REVISAR",IF(IF(Q401&lt;&gt;"",Q401,I401)&lt;TODAY(),"ATRASADO",IF(IF(Q401&lt;&gt;"",Q401,I401)-TODAY()&lt;=2,"POR VENCER","EN TIEMPO")))))</f>
        <v>Entregado</v>
      </c>
      <c r="N401" s="23" t="s">
        <v>388</v>
      </c>
      <c r="P401" s="23" t="s">
        <v>823</v>
      </c>
      <c r="Q401" s="28"/>
    </row>
    <row r="402" spans="1:17" ht="16.5" hidden="1" x14ac:dyDescent="0.3">
      <c r="A402" s="23" t="s">
        <v>825</v>
      </c>
      <c r="B402" s="23" t="s">
        <v>67</v>
      </c>
      <c r="C402" s="23" t="s">
        <v>826</v>
      </c>
      <c r="D402" s="24">
        <v>46176</v>
      </c>
      <c r="E402" s="25">
        <v>1</v>
      </c>
      <c r="F402" s="24">
        <v>46176</v>
      </c>
      <c r="G402" s="23" t="s">
        <v>411</v>
      </c>
      <c r="H402" s="26">
        <v>3</v>
      </c>
      <c r="I402" s="24">
        <f t="shared" si="18"/>
        <v>46179</v>
      </c>
      <c r="J402" s="26">
        <f t="shared" ca="1" si="19"/>
        <v>-125</v>
      </c>
      <c r="K402" s="26" t="str">
        <f t="shared" ca="1" si="20"/>
        <v/>
      </c>
      <c r="L402" s="27" t="s">
        <v>1567</v>
      </c>
      <c r="M402" s="26" t="str">
        <f ca="1">IF(L402&lt;&gt;"","Entregado",IF(NOT(ISNUMBER(IF(Q402&lt;&gt;"",Q402,I402))),"REVISAR TE",IF(AND(ISNUMBER(Resumen!$B$3),IF(Q402&lt;&gt;"",Q402,I402)&lt;Resumen!$B$3),"REVISAR",IF(IF(Q402&lt;&gt;"",Q402,I402)&lt;TODAY(),"ATRASADO",IF(IF(Q402&lt;&gt;"",Q402,I402)-TODAY()&lt;=2,"POR VENCER","EN TIEMPO")))))</f>
        <v>Entregado</v>
      </c>
      <c r="N402" s="23" t="s">
        <v>511</v>
      </c>
      <c r="P402" s="23" t="s">
        <v>827</v>
      </c>
      <c r="Q402" s="28"/>
    </row>
    <row r="403" spans="1:17" ht="16.5" hidden="1" x14ac:dyDescent="0.3">
      <c r="A403" s="23" t="s">
        <v>828</v>
      </c>
      <c r="B403" s="23" t="s">
        <v>54</v>
      </c>
      <c r="C403" s="23" t="s">
        <v>829</v>
      </c>
      <c r="D403" s="24">
        <v>46176</v>
      </c>
      <c r="E403" s="25">
        <v>1</v>
      </c>
      <c r="F403" s="24">
        <v>46176</v>
      </c>
      <c r="G403" s="23" t="s">
        <v>83</v>
      </c>
      <c r="H403" s="26">
        <v>21</v>
      </c>
      <c r="I403" s="24">
        <f t="shared" si="18"/>
        <v>46197</v>
      </c>
      <c r="J403" s="26">
        <f t="shared" ca="1" si="19"/>
        <v>-107</v>
      </c>
      <c r="K403" s="26" t="str">
        <f t="shared" ca="1" si="20"/>
        <v/>
      </c>
      <c r="L403" s="27" t="s">
        <v>1567</v>
      </c>
      <c r="M403" s="26" t="str">
        <f ca="1">IF(L403&lt;&gt;"","Entregado",IF(NOT(ISNUMBER(IF(Q403&lt;&gt;"",Q403,I403))),"REVISAR TE",IF(AND(ISNUMBER(Resumen!$B$3),IF(Q403&lt;&gt;"",Q403,I403)&lt;Resumen!$B$3),"REVISAR",IF(IF(Q403&lt;&gt;"",Q403,I403)&lt;TODAY(),"ATRASADO",IF(IF(Q403&lt;&gt;"",Q403,I403)-TODAY()&lt;=2,"POR VENCER","EN TIEMPO")))))</f>
        <v>Entregado</v>
      </c>
      <c r="N403" s="23" t="s">
        <v>216</v>
      </c>
      <c r="P403" s="23" t="s">
        <v>830</v>
      </c>
      <c r="Q403" s="28"/>
    </row>
    <row r="404" spans="1:17" ht="16.5" hidden="1" x14ac:dyDescent="0.3">
      <c r="A404" s="23" t="s">
        <v>828</v>
      </c>
      <c r="B404" s="23" t="s">
        <v>54</v>
      </c>
      <c r="C404" s="23" t="s">
        <v>831</v>
      </c>
      <c r="D404" s="24">
        <v>46176</v>
      </c>
      <c r="E404" s="25">
        <v>1</v>
      </c>
      <c r="F404" s="24">
        <v>46176</v>
      </c>
      <c r="G404" s="23" t="s">
        <v>83</v>
      </c>
      <c r="H404" s="26">
        <v>21</v>
      </c>
      <c r="I404" s="24">
        <f t="shared" si="18"/>
        <v>46197</v>
      </c>
      <c r="J404" s="26">
        <f t="shared" ca="1" si="19"/>
        <v>-107</v>
      </c>
      <c r="K404" s="26" t="str">
        <f t="shared" ca="1" si="20"/>
        <v/>
      </c>
      <c r="L404" s="27" t="s">
        <v>1567</v>
      </c>
      <c r="M404" s="26" t="str">
        <f ca="1">IF(L404&lt;&gt;"","Entregado",IF(NOT(ISNUMBER(IF(Q404&lt;&gt;"",Q404,I404))),"REVISAR TE",IF(AND(ISNUMBER(Resumen!$B$3),IF(Q404&lt;&gt;"",Q404,I404)&lt;Resumen!$B$3),"REVISAR",IF(IF(Q404&lt;&gt;"",Q404,I404)&lt;TODAY(),"ATRASADO",IF(IF(Q404&lt;&gt;"",Q404,I404)-TODAY()&lt;=2,"POR VENCER","EN TIEMPO")))))</f>
        <v>Entregado</v>
      </c>
      <c r="N404" s="23" t="s">
        <v>214</v>
      </c>
      <c r="P404" s="23" t="s">
        <v>830</v>
      </c>
      <c r="Q404" s="28"/>
    </row>
    <row r="405" spans="1:17" ht="16.5" hidden="1" x14ac:dyDescent="0.3">
      <c r="A405" s="23" t="s">
        <v>832</v>
      </c>
      <c r="B405" s="23" t="s">
        <v>59</v>
      </c>
      <c r="C405" s="23" t="s">
        <v>833</v>
      </c>
      <c r="D405" s="24">
        <v>46178</v>
      </c>
      <c r="E405" s="25">
        <v>48</v>
      </c>
      <c r="F405" s="24">
        <v>46178</v>
      </c>
      <c r="G405" s="23" t="s">
        <v>93</v>
      </c>
      <c r="H405" s="26">
        <v>28</v>
      </c>
      <c r="I405" s="24">
        <f t="shared" si="18"/>
        <v>46206</v>
      </c>
      <c r="J405" s="26">
        <f t="shared" ca="1" si="19"/>
        <v>-98</v>
      </c>
      <c r="K405" s="26" t="str">
        <f t="shared" ca="1" si="20"/>
        <v/>
      </c>
      <c r="L405" s="27" t="s">
        <v>1567</v>
      </c>
      <c r="M405" s="26" t="str">
        <f ca="1">IF(L405&lt;&gt;"","Entregado",IF(NOT(ISNUMBER(IF(Q405&lt;&gt;"",Q405,I405))),"REVISAR TE",IF(AND(ISNUMBER(Resumen!$B$3),IF(Q405&lt;&gt;"",Q405,I405)&lt;Resumen!$B$3),"REVISAR",IF(IF(Q405&lt;&gt;"",Q405,I405)&lt;TODAY(),"ATRASADO",IF(IF(Q405&lt;&gt;"",Q405,I405)-TODAY()&lt;=2,"POR VENCER","EN TIEMPO")))))</f>
        <v>Entregado</v>
      </c>
      <c r="N405" s="23" t="s">
        <v>94</v>
      </c>
      <c r="P405" s="23" t="s">
        <v>834</v>
      </c>
      <c r="Q405" s="28"/>
    </row>
    <row r="406" spans="1:17" ht="16.5" hidden="1" x14ac:dyDescent="0.3">
      <c r="A406" s="23" t="s">
        <v>832</v>
      </c>
      <c r="B406" s="23" t="s">
        <v>59</v>
      </c>
      <c r="C406" s="23" t="s">
        <v>835</v>
      </c>
      <c r="D406" s="24">
        <v>46178</v>
      </c>
      <c r="E406" s="25">
        <v>48</v>
      </c>
      <c r="F406" s="24">
        <v>46178</v>
      </c>
      <c r="G406" s="23" t="s">
        <v>93</v>
      </c>
      <c r="H406" s="26">
        <v>28</v>
      </c>
      <c r="I406" s="24">
        <f t="shared" si="18"/>
        <v>46206</v>
      </c>
      <c r="J406" s="26">
        <f t="shared" ca="1" si="19"/>
        <v>-98</v>
      </c>
      <c r="K406" s="26" t="str">
        <f t="shared" ca="1" si="20"/>
        <v/>
      </c>
      <c r="L406" s="27" t="s">
        <v>1567</v>
      </c>
      <c r="M406" s="26" t="str">
        <f ca="1">IF(L406&lt;&gt;"","Entregado",IF(NOT(ISNUMBER(IF(Q406&lt;&gt;"",Q406,I406))),"REVISAR TE",IF(AND(ISNUMBER(Resumen!$B$3),IF(Q406&lt;&gt;"",Q406,I406)&lt;Resumen!$B$3),"REVISAR",IF(IF(Q406&lt;&gt;"",Q406,I406)&lt;TODAY(),"ATRASADO",IF(IF(Q406&lt;&gt;"",Q406,I406)-TODAY()&lt;=2,"POR VENCER","EN TIEMPO")))))</f>
        <v>Entregado</v>
      </c>
      <c r="N406" s="23" t="s">
        <v>94</v>
      </c>
      <c r="P406" s="23" t="s">
        <v>834</v>
      </c>
      <c r="Q406" s="28"/>
    </row>
    <row r="407" spans="1:17" ht="16.5" hidden="1" x14ac:dyDescent="0.3">
      <c r="A407" s="23" t="s">
        <v>832</v>
      </c>
      <c r="B407" s="23" t="s">
        <v>59</v>
      </c>
      <c r="C407" s="23" t="s">
        <v>836</v>
      </c>
      <c r="D407" s="24">
        <v>46178</v>
      </c>
      <c r="E407" s="25">
        <v>48</v>
      </c>
      <c r="F407" s="24">
        <v>46178</v>
      </c>
      <c r="G407" s="23" t="s">
        <v>93</v>
      </c>
      <c r="H407" s="26">
        <v>28</v>
      </c>
      <c r="I407" s="24">
        <f t="shared" si="18"/>
        <v>46206</v>
      </c>
      <c r="J407" s="26">
        <f t="shared" ca="1" si="19"/>
        <v>-98</v>
      </c>
      <c r="K407" s="26" t="str">
        <f t="shared" ca="1" si="20"/>
        <v/>
      </c>
      <c r="L407" s="27" t="s">
        <v>1567</v>
      </c>
      <c r="M407" s="26" t="str">
        <f ca="1">IF(L407&lt;&gt;"","Entregado",IF(NOT(ISNUMBER(IF(Q407&lt;&gt;"",Q407,I407))),"REVISAR TE",IF(AND(ISNUMBER(Resumen!$B$3),IF(Q407&lt;&gt;"",Q407,I407)&lt;Resumen!$B$3),"REVISAR",IF(IF(Q407&lt;&gt;"",Q407,I407)&lt;TODAY(),"ATRASADO",IF(IF(Q407&lt;&gt;"",Q407,I407)-TODAY()&lt;=2,"POR VENCER","EN TIEMPO")))))</f>
        <v>Entregado</v>
      </c>
      <c r="N407" s="23" t="s">
        <v>94</v>
      </c>
      <c r="P407" s="23" t="s">
        <v>834</v>
      </c>
      <c r="Q407" s="28"/>
    </row>
    <row r="408" spans="1:17" ht="16.5" hidden="1" x14ac:dyDescent="0.3">
      <c r="A408" s="23" t="s">
        <v>837</v>
      </c>
      <c r="B408" s="23" t="s">
        <v>54</v>
      </c>
      <c r="C408" s="23" t="s">
        <v>838</v>
      </c>
      <c r="D408" s="24">
        <v>46179</v>
      </c>
      <c r="E408" s="25">
        <v>2</v>
      </c>
      <c r="F408" s="24">
        <v>46179</v>
      </c>
      <c r="G408" s="23" t="s">
        <v>180</v>
      </c>
      <c r="H408" s="26">
        <v>14</v>
      </c>
      <c r="I408" s="24">
        <f t="shared" si="18"/>
        <v>46193</v>
      </c>
      <c r="J408" s="26">
        <f t="shared" ca="1" si="19"/>
        <v>-111</v>
      </c>
      <c r="K408" s="26" t="str">
        <f t="shared" ca="1" si="20"/>
        <v/>
      </c>
      <c r="L408" s="27" t="s">
        <v>1567</v>
      </c>
      <c r="M408" s="26" t="str">
        <f ca="1">IF(L408&lt;&gt;"","Entregado",IF(NOT(ISNUMBER(IF(Q408&lt;&gt;"",Q408,I408))),"REVISAR TE",IF(AND(ISNUMBER(Resumen!$B$3),IF(Q408&lt;&gt;"",Q408,I408)&lt;Resumen!$B$3),"REVISAR",IF(IF(Q408&lt;&gt;"",Q408,I408)&lt;TODAY(),"ATRASADO",IF(IF(Q408&lt;&gt;"",Q408,I408)-TODAY()&lt;=2,"POR VENCER","EN TIEMPO")))))</f>
        <v>Entregado</v>
      </c>
      <c r="N408" s="23" t="s">
        <v>94</v>
      </c>
      <c r="P408" s="23" t="s">
        <v>839</v>
      </c>
      <c r="Q408" s="28"/>
    </row>
    <row r="409" spans="1:17" ht="16.5" hidden="1" x14ac:dyDescent="0.3">
      <c r="A409" s="23" t="s">
        <v>837</v>
      </c>
      <c r="B409" s="23" t="s">
        <v>54</v>
      </c>
      <c r="C409" s="23" t="s">
        <v>840</v>
      </c>
      <c r="D409" s="24">
        <v>46179</v>
      </c>
      <c r="E409" s="25">
        <v>2</v>
      </c>
      <c r="F409" s="24">
        <v>46179</v>
      </c>
      <c r="G409" s="23" t="s">
        <v>180</v>
      </c>
      <c r="H409" s="26">
        <v>14</v>
      </c>
      <c r="I409" s="24">
        <f t="shared" si="18"/>
        <v>46193</v>
      </c>
      <c r="J409" s="26">
        <f t="shared" ca="1" si="19"/>
        <v>-111</v>
      </c>
      <c r="K409" s="26" t="str">
        <f t="shared" ca="1" si="20"/>
        <v/>
      </c>
      <c r="L409" s="27" t="s">
        <v>1567</v>
      </c>
      <c r="M409" s="26" t="str">
        <f ca="1">IF(L409&lt;&gt;"","Entregado",IF(NOT(ISNUMBER(IF(Q409&lt;&gt;"",Q409,I409))),"REVISAR TE",IF(AND(ISNUMBER(Resumen!$B$3),IF(Q409&lt;&gt;"",Q409,I409)&lt;Resumen!$B$3),"REVISAR",IF(IF(Q409&lt;&gt;"",Q409,I409)&lt;TODAY(),"ATRASADO",IF(IF(Q409&lt;&gt;"",Q409,I409)-TODAY()&lt;=2,"POR VENCER","EN TIEMPO")))))</f>
        <v>Entregado</v>
      </c>
      <c r="N409" s="23" t="s">
        <v>94</v>
      </c>
      <c r="P409" s="23" t="s">
        <v>839</v>
      </c>
      <c r="Q409" s="28"/>
    </row>
    <row r="410" spans="1:17" ht="16.5" hidden="1" x14ac:dyDescent="0.3">
      <c r="A410" s="23" t="s">
        <v>837</v>
      </c>
      <c r="B410" s="23" t="s">
        <v>54</v>
      </c>
      <c r="C410" s="23" t="s">
        <v>841</v>
      </c>
      <c r="D410" s="24">
        <v>46179</v>
      </c>
      <c r="E410" s="25">
        <v>2</v>
      </c>
      <c r="F410" s="24">
        <v>46179</v>
      </c>
      <c r="G410" s="23" t="s">
        <v>180</v>
      </c>
      <c r="H410" s="26">
        <v>14</v>
      </c>
      <c r="I410" s="24">
        <f t="shared" si="18"/>
        <v>46193</v>
      </c>
      <c r="J410" s="26">
        <f t="shared" ca="1" si="19"/>
        <v>-111</v>
      </c>
      <c r="K410" s="26" t="str">
        <f t="shared" ca="1" si="20"/>
        <v/>
      </c>
      <c r="L410" s="27" t="s">
        <v>1567</v>
      </c>
      <c r="M410" s="26" t="str">
        <f ca="1">IF(L410&lt;&gt;"","Entregado",IF(NOT(ISNUMBER(IF(Q410&lt;&gt;"",Q410,I410))),"REVISAR TE",IF(AND(ISNUMBER(Resumen!$B$3),IF(Q410&lt;&gt;"",Q410,I410)&lt;Resumen!$B$3),"REVISAR",IF(IF(Q410&lt;&gt;"",Q410,I410)&lt;TODAY(),"ATRASADO",IF(IF(Q410&lt;&gt;"",Q410,I410)-TODAY()&lt;=2,"POR VENCER","EN TIEMPO")))))</f>
        <v>Entregado</v>
      </c>
      <c r="N410" s="23" t="s">
        <v>94</v>
      </c>
      <c r="P410" s="23" t="s">
        <v>839</v>
      </c>
      <c r="Q410" s="28"/>
    </row>
    <row r="411" spans="1:17" ht="16.5" hidden="1" x14ac:dyDescent="0.3">
      <c r="A411" s="23" t="s">
        <v>842</v>
      </c>
      <c r="B411" s="23" t="s">
        <v>53</v>
      </c>
      <c r="C411" s="23" t="s">
        <v>843</v>
      </c>
      <c r="D411" s="24">
        <v>46179</v>
      </c>
      <c r="E411" s="25">
        <v>1</v>
      </c>
      <c r="F411" s="24">
        <v>46179</v>
      </c>
      <c r="G411" s="23" t="s">
        <v>274</v>
      </c>
      <c r="H411" s="26">
        <v>42</v>
      </c>
      <c r="I411" s="24">
        <f t="shared" si="18"/>
        <v>46221</v>
      </c>
      <c r="J411" s="26">
        <f t="shared" ca="1" si="19"/>
        <v>-83</v>
      </c>
      <c r="K411" s="26" t="str">
        <f t="shared" ca="1" si="20"/>
        <v/>
      </c>
      <c r="L411" s="27" t="s">
        <v>1567</v>
      </c>
      <c r="M411" s="26" t="str">
        <f ca="1">IF(L411&lt;&gt;"","Entregado",IF(NOT(ISNUMBER(IF(Q411&lt;&gt;"",Q411,I411))),"REVISAR TE",IF(AND(ISNUMBER(Resumen!$B$3),IF(Q411&lt;&gt;"",Q411,I411)&lt;Resumen!$B$3),"REVISAR",IF(IF(Q411&lt;&gt;"",Q411,I411)&lt;TODAY(),"ATRASADO",IF(IF(Q411&lt;&gt;"",Q411,I411)-TODAY()&lt;=2,"POR VENCER","EN TIEMPO")))))</f>
        <v>Entregado</v>
      </c>
      <c r="N411" s="23" t="s">
        <v>245</v>
      </c>
      <c r="P411" s="23" t="s">
        <v>844</v>
      </c>
      <c r="Q411" s="28"/>
    </row>
    <row r="412" spans="1:17" ht="16.5" hidden="1" x14ac:dyDescent="0.3">
      <c r="A412" s="23" t="s">
        <v>842</v>
      </c>
      <c r="B412" s="23" t="s">
        <v>53</v>
      </c>
      <c r="C412" s="23" t="s">
        <v>845</v>
      </c>
      <c r="D412" s="24">
        <v>46179</v>
      </c>
      <c r="E412" s="25">
        <v>1</v>
      </c>
      <c r="F412" s="24">
        <v>46179</v>
      </c>
      <c r="G412" s="23" t="s">
        <v>274</v>
      </c>
      <c r="H412" s="26">
        <v>42</v>
      </c>
      <c r="I412" s="24">
        <f t="shared" si="18"/>
        <v>46221</v>
      </c>
      <c r="J412" s="26">
        <f t="shared" ca="1" si="19"/>
        <v>-83</v>
      </c>
      <c r="K412" s="26" t="str">
        <f t="shared" ca="1" si="20"/>
        <v/>
      </c>
      <c r="L412" s="27" t="s">
        <v>1567</v>
      </c>
      <c r="M412" s="26" t="str">
        <f ca="1">IF(L412&lt;&gt;"","Entregado",IF(NOT(ISNUMBER(IF(Q412&lt;&gt;"",Q412,I412))),"REVISAR TE",IF(AND(ISNUMBER(Resumen!$B$3),IF(Q412&lt;&gt;"",Q412,I412)&lt;Resumen!$B$3),"REVISAR",IF(IF(Q412&lt;&gt;"",Q412,I412)&lt;TODAY(),"ATRASADO",IF(IF(Q412&lt;&gt;"",Q412,I412)-TODAY()&lt;=2,"POR VENCER","EN TIEMPO")))))</f>
        <v>Entregado</v>
      </c>
      <c r="N412" s="23" t="s">
        <v>245</v>
      </c>
      <c r="P412" s="23" t="s">
        <v>844</v>
      </c>
      <c r="Q412" s="28"/>
    </row>
    <row r="413" spans="1:17" ht="16.5" hidden="1" x14ac:dyDescent="0.3">
      <c r="A413" s="23" t="s">
        <v>842</v>
      </c>
      <c r="B413" s="23" t="s">
        <v>53</v>
      </c>
      <c r="C413" s="23" t="s">
        <v>846</v>
      </c>
      <c r="D413" s="24">
        <v>46179</v>
      </c>
      <c r="E413" s="25">
        <v>1</v>
      </c>
      <c r="F413" s="24">
        <v>46179</v>
      </c>
      <c r="G413" s="23" t="s">
        <v>274</v>
      </c>
      <c r="H413" s="26">
        <v>42</v>
      </c>
      <c r="I413" s="24">
        <f t="shared" si="18"/>
        <v>46221</v>
      </c>
      <c r="J413" s="26">
        <f t="shared" ca="1" si="19"/>
        <v>-83</v>
      </c>
      <c r="K413" s="26" t="str">
        <f t="shared" ca="1" si="20"/>
        <v/>
      </c>
      <c r="L413" s="27" t="s">
        <v>1567</v>
      </c>
      <c r="M413" s="26" t="str">
        <f ca="1">IF(L413&lt;&gt;"","Entregado",IF(NOT(ISNUMBER(IF(Q413&lt;&gt;"",Q413,I413))),"REVISAR TE",IF(AND(ISNUMBER(Resumen!$B$3),IF(Q413&lt;&gt;"",Q413,I413)&lt;Resumen!$B$3),"REVISAR",IF(IF(Q413&lt;&gt;"",Q413,I413)&lt;TODAY(),"ATRASADO",IF(IF(Q413&lt;&gt;"",Q413,I413)-TODAY()&lt;=2,"POR VENCER","EN TIEMPO")))))</f>
        <v>Entregado</v>
      </c>
      <c r="N413" s="23" t="s">
        <v>245</v>
      </c>
      <c r="P413" s="23" t="s">
        <v>844</v>
      </c>
      <c r="Q413" s="28"/>
    </row>
    <row r="414" spans="1:17" ht="16.5" hidden="1" x14ac:dyDescent="0.3">
      <c r="A414" s="23" t="s">
        <v>842</v>
      </c>
      <c r="B414" s="23" t="s">
        <v>53</v>
      </c>
      <c r="C414" s="23" t="s">
        <v>847</v>
      </c>
      <c r="D414" s="24">
        <v>46179</v>
      </c>
      <c r="E414" s="25">
        <v>1</v>
      </c>
      <c r="F414" s="24">
        <v>46179</v>
      </c>
      <c r="G414" s="23" t="s">
        <v>274</v>
      </c>
      <c r="H414" s="26">
        <v>42</v>
      </c>
      <c r="I414" s="24">
        <f t="shared" si="18"/>
        <v>46221</v>
      </c>
      <c r="J414" s="26">
        <f t="shared" ca="1" si="19"/>
        <v>-83</v>
      </c>
      <c r="K414" s="26" t="str">
        <f t="shared" ca="1" si="20"/>
        <v/>
      </c>
      <c r="L414" s="27" t="s">
        <v>1567</v>
      </c>
      <c r="M414" s="26" t="str">
        <f ca="1">IF(L414&lt;&gt;"","Entregado",IF(NOT(ISNUMBER(IF(Q414&lt;&gt;"",Q414,I414))),"REVISAR TE",IF(AND(ISNUMBER(Resumen!$B$3),IF(Q414&lt;&gt;"",Q414,I414)&lt;Resumen!$B$3),"REVISAR",IF(IF(Q414&lt;&gt;"",Q414,I414)&lt;TODAY(),"ATRASADO",IF(IF(Q414&lt;&gt;"",Q414,I414)-TODAY()&lt;=2,"POR VENCER","EN TIEMPO")))))</f>
        <v>Entregado</v>
      </c>
      <c r="N414" s="23" t="s">
        <v>245</v>
      </c>
      <c r="P414" s="23" t="s">
        <v>844</v>
      </c>
      <c r="Q414" s="28"/>
    </row>
    <row r="415" spans="1:17" ht="16.5" hidden="1" x14ac:dyDescent="0.3">
      <c r="A415" s="23" t="s">
        <v>842</v>
      </c>
      <c r="B415" s="23" t="s">
        <v>53</v>
      </c>
      <c r="C415" s="23" t="s">
        <v>848</v>
      </c>
      <c r="D415" s="24">
        <v>46179</v>
      </c>
      <c r="E415" s="25">
        <v>1</v>
      </c>
      <c r="F415" s="24">
        <v>46179</v>
      </c>
      <c r="G415" s="23" t="s">
        <v>274</v>
      </c>
      <c r="H415" s="26">
        <v>42</v>
      </c>
      <c r="I415" s="24">
        <f t="shared" si="18"/>
        <v>46221</v>
      </c>
      <c r="J415" s="26">
        <f t="shared" ca="1" si="19"/>
        <v>-83</v>
      </c>
      <c r="K415" s="26" t="str">
        <f t="shared" ca="1" si="20"/>
        <v/>
      </c>
      <c r="L415" s="27" t="s">
        <v>1567</v>
      </c>
      <c r="M415" s="26" t="str">
        <f ca="1">IF(L415&lt;&gt;"","Entregado",IF(NOT(ISNUMBER(IF(Q415&lt;&gt;"",Q415,I415))),"REVISAR TE",IF(AND(ISNUMBER(Resumen!$B$3),IF(Q415&lt;&gt;"",Q415,I415)&lt;Resumen!$B$3),"REVISAR",IF(IF(Q415&lt;&gt;"",Q415,I415)&lt;TODAY(),"ATRASADO",IF(IF(Q415&lt;&gt;"",Q415,I415)-TODAY()&lt;=2,"POR VENCER","EN TIEMPO")))))</f>
        <v>Entregado</v>
      </c>
      <c r="N415" s="23" t="s">
        <v>245</v>
      </c>
      <c r="P415" s="23" t="s">
        <v>844</v>
      </c>
      <c r="Q415" s="28"/>
    </row>
    <row r="416" spans="1:17" ht="16.5" hidden="1" x14ac:dyDescent="0.3">
      <c r="A416" s="23" t="s">
        <v>842</v>
      </c>
      <c r="B416" s="23" t="s">
        <v>53</v>
      </c>
      <c r="C416" s="23" t="s">
        <v>849</v>
      </c>
      <c r="D416" s="24">
        <v>46179</v>
      </c>
      <c r="E416" s="25">
        <v>1</v>
      </c>
      <c r="F416" s="24">
        <v>46179</v>
      </c>
      <c r="G416" s="23" t="s">
        <v>274</v>
      </c>
      <c r="H416" s="26">
        <v>42</v>
      </c>
      <c r="I416" s="24">
        <f t="shared" si="18"/>
        <v>46221</v>
      </c>
      <c r="J416" s="26">
        <f t="shared" ca="1" si="19"/>
        <v>-83</v>
      </c>
      <c r="K416" s="26" t="str">
        <f t="shared" ca="1" si="20"/>
        <v/>
      </c>
      <c r="L416" s="27" t="s">
        <v>1567</v>
      </c>
      <c r="M416" s="26" t="str">
        <f ca="1">IF(L416&lt;&gt;"","Entregado",IF(NOT(ISNUMBER(IF(Q416&lt;&gt;"",Q416,I416))),"REVISAR TE",IF(AND(ISNUMBER(Resumen!$B$3),IF(Q416&lt;&gt;"",Q416,I416)&lt;Resumen!$B$3),"REVISAR",IF(IF(Q416&lt;&gt;"",Q416,I416)&lt;TODAY(),"ATRASADO",IF(IF(Q416&lt;&gt;"",Q416,I416)-TODAY()&lt;=2,"POR VENCER","EN TIEMPO")))))</f>
        <v>Entregado</v>
      </c>
      <c r="N416" s="23" t="s">
        <v>214</v>
      </c>
      <c r="P416" s="23" t="s">
        <v>844</v>
      </c>
      <c r="Q416" s="28"/>
    </row>
    <row r="417" spans="1:17" ht="16.5" hidden="1" x14ac:dyDescent="0.3">
      <c r="A417" s="23" t="s">
        <v>842</v>
      </c>
      <c r="B417" s="23" t="s">
        <v>53</v>
      </c>
      <c r="C417" s="23" t="s">
        <v>850</v>
      </c>
      <c r="D417" s="24">
        <v>46179</v>
      </c>
      <c r="E417" s="25">
        <v>1</v>
      </c>
      <c r="F417" s="24">
        <v>46179</v>
      </c>
      <c r="G417" s="23" t="s">
        <v>274</v>
      </c>
      <c r="H417" s="26">
        <v>42</v>
      </c>
      <c r="I417" s="24">
        <f t="shared" si="18"/>
        <v>46221</v>
      </c>
      <c r="J417" s="26">
        <f t="shared" ca="1" si="19"/>
        <v>-83</v>
      </c>
      <c r="K417" s="26" t="str">
        <f t="shared" ca="1" si="20"/>
        <v/>
      </c>
      <c r="L417" s="27" t="s">
        <v>1567</v>
      </c>
      <c r="M417" s="26" t="str">
        <f ca="1">IF(L417&lt;&gt;"","Entregado",IF(NOT(ISNUMBER(IF(Q417&lt;&gt;"",Q417,I417))),"REVISAR TE",IF(AND(ISNUMBER(Resumen!$B$3),IF(Q417&lt;&gt;"",Q417,I417)&lt;Resumen!$B$3),"REVISAR",IF(IF(Q417&lt;&gt;"",Q417,I417)&lt;TODAY(),"ATRASADO",IF(IF(Q417&lt;&gt;"",Q417,I417)-TODAY()&lt;=2,"POR VENCER","EN TIEMPO")))))</f>
        <v>Entregado</v>
      </c>
      <c r="N417" s="23" t="s">
        <v>245</v>
      </c>
      <c r="P417" s="23" t="s">
        <v>844</v>
      </c>
      <c r="Q417" s="28"/>
    </row>
    <row r="418" spans="1:17" ht="16.5" hidden="1" x14ac:dyDescent="0.3">
      <c r="A418" s="23" t="s">
        <v>842</v>
      </c>
      <c r="B418" s="23" t="s">
        <v>53</v>
      </c>
      <c r="C418" s="23" t="s">
        <v>851</v>
      </c>
      <c r="D418" s="24">
        <v>46179</v>
      </c>
      <c r="E418" s="25">
        <v>1</v>
      </c>
      <c r="F418" s="24">
        <v>46179</v>
      </c>
      <c r="G418" s="23" t="s">
        <v>274</v>
      </c>
      <c r="H418" s="26">
        <v>42</v>
      </c>
      <c r="I418" s="24">
        <f t="shared" si="18"/>
        <v>46221</v>
      </c>
      <c r="J418" s="26">
        <f t="shared" ca="1" si="19"/>
        <v>-83</v>
      </c>
      <c r="K418" s="26" t="str">
        <f t="shared" ca="1" si="20"/>
        <v/>
      </c>
      <c r="L418" s="27" t="s">
        <v>1567</v>
      </c>
      <c r="M418" s="26" t="str">
        <f ca="1">IF(L418&lt;&gt;"","Entregado",IF(NOT(ISNUMBER(IF(Q418&lt;&gt;"",Q418,I418))),"REVISAR TE",IF(AND(ISNUMBER(Resumen!$B$3),IF(Q418&lt;&gt;"",Q418,I418)&lt;Resumen!$B$3),"REVISAR",IF(IF(Q418&lt;&gt;"",Q418,I418)&lt;TODAY(),"ATRASADO",IF(IF(Q418&lt;&gt;"",Q418,I418)-TODAY()&lt;=2,"POR VENCER","EN TIEMPO")))))</f>
        <v>Entregado</v>
      </c>
      <c r="N418" s="23" t="s">
        <v>245</v>
      </c>
      <c r="P418" s="23" t="s">
        <v>844</v>
      </c>
      <c r="Q418" s="28"/>
    </row>
    <row r="419" spans="1:17" ht="16.5" hidden="1" x14ac:dyDescent="0.3">
      <c r="A419" s="23" t="s">
        <v>842</v>
      </c>
      <c r="B419" s="23" t="s">
        <v>53</v>
      </c>
      <c r="C419" s="23" t="s">
        <v>852</v>
      </c>
      <c r="D419" s="24">
        <v>46179</v>
      </c>
      <c r="E419" s="25">
        <v>1</v>
      </c>
      <c r="F419" s="24">
        <v>46179</v>
      </c>
      <c r="G419" s="23" t="s">
        <v>274</v>
      </c>
      <c r="H419" s="26">
        <v>42</v>
      </c>
      <c r="I419" s="24">
        <f t="shared" si="18"/>
        <v>46221</v>
      </c>
      <c r="J419" s="26">
        <f t="shared" ca="1" si="19"/>
        <v>-83</v>
      </c>
      <c r="K419" s="26" t="str">
        <f t="shared" ca="1" si="20"/>
        <v/>
      </c>
      <c r="L419" s="27" t="s">
        <v>1567</v>
      </c>
      <c r="M419" s="26" t="str">
        <f ca="1">IF(L419&lt;&gt;"","Entregado",IF(NOT(ISNUMBER(IF(Q419&lt;&gt;"",Q419,I419))),"REVISAR TE",IF(AND(ISNUMBER(Resumen!$B$3),IF(Q419&lt;&gt;"",Q419,I419)&lt;Resumen!$B$3),"REVISAR",IF(IF(Q419&lt;&gt;"",Q419,I419)&lt;TODAY(),"ATRASADO",IF(IF(Q419&lt;&gt;"",Q419,I419)-TODAY()&lt;=2,"POR VENCER","EN TIEMPO")))))</f>
        <v>Entregado</v>
      </c>
      <c r="N419" s="23" t="s">
        <v>245</v>
      </c>
      <c r="P419" s="23" t="s">
        <v>844</v>
      </c>
      <c r="Q419" s="28"/>
    </row>
    <row r="420" spans="1:17" ht="16.5" hidden="1" x14ac:dyDescent="0.3">
      <c r="A420" s="23" t="s">
        <v>842</v>
      </c>
      <c r="B420" s="23" t="s">
        <v>53</v>
      </c>
      <c r="C420" s="23" t="s">
        <v>853</v>
      </c>
      <c r="D420" s="24">
        <v>46179</v>
      </c>
      <c r="E420" s="25">
        <v>1</v>
      </c>
      <c r="F420" s="24">
        <v>46179</v>
      </c>
      <c r="G420" s="23" t="s">
        <v>274</v>
      </c>
      <c r="H420" s="26">
        <v>42</v>
      </c>
      <c r="I420" s="24">
        <f t="shared" si="18"/>
        <v>46221</v>
      </c>
      <c r="J420" s="26">
        <f t="shared" ca="1" si="19"/>
        <v>-83</v>
      </c>
      <c r="K420" s="26" t="str">
        <f t="shared" ca="1" si="20"/>
        <v/>
      </c>
      <c r="L420" s="27" t="s">
        <v>1567</v>
      </c>
      <c r="M420" s="26" t="str">
        <f ca="1">IF(L420&lt;&gt;"","Entregado",IF(NOT(ISNUMBER(IF(Q420&lt;&gt;"",Q420,I420))),"REVISAR TE",IF(AND(ISNUMBER(Resumen!$B$3),IF(Q420&lt;&gt;"",Q420,I420)&lt;Resumen!$B$3),"REVISAR",IF(IF(Q420&lt;&gt;"",Q420,I420)&lt;TODAY(),"ATRASADO",IF(IF(Q420&lt;&gt;"",Q420,I420)-TODAY()&lt;=2,"POR VENCER","EN TIEMPO")))))</f>
        <v>Entregado</v>
      </c>
      <c r="N420" s="23" t="s">
        <v>214</v>
      </c>
      <c r="P420" s="23" t="s">
        <v>844</v>
      </c>
      <c r="Q420" s="28"/>
    </row>
    <row r="421" spans="1:17" ht="16.5" hidden="1" x14ac:dyDescent="0.3">
      <c r="A421" s="23" t="s">
        <v>842</v>
      </c>
      <c r="B421" s="23" t="s">
        <v>53</v>
      </c>
      <c r="C421" s="23" t="s">
        <v>854</v>
      </c>
      <c r="D421" s="24">
        <v>46179</v>
      </c>
      <c r="E421" s="25">
        <v>1</v>
      </c>
      <c r="F421" s="24">
        <v>46179</v>
      </c>
      <c r="G421" s="23" t="s">
        <v>274</v>
      </c>
      <c r="H421" s="26">
        <v>42</v>
      </c>
      <c r="I421" s="24">
        <f t="shared" si="18"/>
        <v>46221</v>
      </c>
      <c r="J421" s="26">
        <f t="shared" ca="1" si="19"/>
        <v>-83</v>
      </c>
      <c r="K421" s="26" t="str">
        <f t="shared" ca="1" si="20"/>
        <v/>
      </c>
      <c r="L421" s="27" t="s">
        <v>1567</v>
      </c>
      <c r="M421" s="26" t="str">
        <f ca="1">IF(L421&lt;&gt;"","Entregado",IF(NOT(ISNUMBER(IF(Q421&lt;&gt;"",Q421,I421))),"REVISAR TE",IF(AND(ISNUMBER(Resumen!$B$3),IF(Q421&lt;&gt;"",Q421,I421)&lt;Resumen!$B$3),"REVISAR",IF(IF(Q421&lt;&gt;"",Q421,I421)&lt;TODAY(),"ATRASADO",IF(IF(Q421&lt;&gt;"",Q421,I421)-TODAY()&lt;=2,"POR VENCER","EN TIEMPO")))))</f>
        <v>Entregado</v>
      </c>
      <c r="N421" s="23" t="s">
        <v>245</v>
      </c>
      <c r="P421" s="23" t="s">
        <v>844</v>
      </c>
      <c r="Q421" s="28"/>
    </row>
    <row r="422" spans="1:17" ht="16.5" hidden="1" x14ac:dyDescent="0.3">
      <c r="A422" s="23" t="s">
        <v>842</v>
      </c>
      <c r="B422" s="23" t="s">
        <v>53</v>
      </c>
      <c r="C422" s="23" t="s">
        <v>855</v>
      </c>
      <c r="D422" s="24">
        <v>46179</v>
      </c>
      <c r="E422" s="25">
        <v>1</v>
      </c>
      <c r="F422" s="24">
        <v>46179</v>
      </c>
      <c r="G422" s="23" t="s">
        <v>274</v>
      </c>
      <c r="H422" s="26">
        <v>42</v>
      </c>
      <c r="I422" s="24">
        <f t="shared" si="18"/>
        <v>46221</v>
      </c>
      <c r="J422" s="26">
        <f t="shared" ca="1" si="19"/>
        <v>-83</v>
      </c>
      <c r="K422" s="26" t="str">
        <f t="shared" ca="1" si="20"/>
        <v/>
      </c>
      <c r="L422" s="27" t="s">
        <v>1567</v>
      </c>
      <c r="M422" s="26" t="str">
        <f ca="1">IF(L422&lt;&gt;"","Entregado",IF(NOT(ISNUMBER(IF(Q422&lt;&gt;"",Q422,I422))),"REVISAR TE",IF(AND(ISNUMBER(Resumen!$B$3),IF(Q422&lt;&gt;"",Q422,I422)&lt;Resumen!$B$3),"REVISAR",IF(IF(Q422&lt;&gt;"",Q422,I422)&lt;TODAY(),"ATRASADO",IF(IF(Q422&lt;&gt;"",Q422,I422)-TODAY()&lt;=2,"POR VENCER","EN TIEMPO")))))</f>
        <v>Entregado</v>
      </c>
      <c r="N422" s="23" t="s">
        <v>245</v>
      </c>
      <c r="P422" s="23" t="s">
        <v>844</v>
      </c>
      <c r="Q422" s="28"/>
    </row>
    <row r="423" spans="1:17" ht="16.5" hidden="1" x14ac:dyDescent="0.3">
      <c r="A423" s="23" t="s">
        <v>842</v>
      </c>
      <c r="B423" s="23" t="s">
        <v>53</v>
      </c>
      <c r="C423" s="23" t="s">
        <v>856</v>
      </c>
      <c r="D423" s="24">
        <v>46179</v>
      </c>
      <c r="E423" s="25">
        <v>1</v>
      </c>
      <c r="F423" s="24">
        <v>46179</v>
      </c>
      <c r="G423" s="23" t="s">
        <v>274</v>
      </c>
      <c r="H423" s="26">
        <v>42</v>
      </c>
      <c r="I423" s="24">
        <f t="shared" si="18"/>
        <v>46221</v>
      </c>
      <c r="J423" s="26">
        <f t="shared" ca="1" si="19"/>
        <v>-83</v>
      </c>
      <c r="K423" s="26" t="str">
        <f t="shared" ca="1" si="20"/>
        <v/>
      </c>
      <c r="L423" s="27" t="s">
        <v>1567</v>
      </c>
      <c r="M423" s="26" t="str">
        <f ca="1">IF(L423&lt;&gt;"","Entregado",IF(NOT(ISNUMBER(IF(Q423&lt;&gt;"",Q423,I423))),"REVISAR TE",IF(AND(ISNUMBER(Resumen!$B$3),IF(Q423&lt;&gt;"",Q423,I423)&lt;Resumen!$B$3),"REVISAR",IF(IF(Q423&lt;&gt;"",Q423,I423)&lt;TODAY(),"ATRASADO",IF(IF(Q423&lt;&gt;"",Q423,I423)-TODAY()&lt;=2,"POR VENCER","EN TIEMPO")))))</f>
        <v>Entregado</v>
      </c>
      <c r="N423" s="23" t="s">
        <v>245</v>
      </c>
      <c r="P423" s="23" t="s">
        <v>844</v>
      </c>
      <c r="Q423" s="28"/>
    </row>
    <row r="424" spans="1:17" ht="16.5" hidden="1" x14ac:dyDescent="0.3">
      <c r="A424" s="23" t="s">
        <v>842</v>
      </c>
      <c r="B424" s="23" t="s">
        <v>53</v>
      </c>
      <c r="C424" s="23" t="s">
        <v>857</v>
      </c>
      <c r="D424" s="24">
        <v>46179</v>
      </c>
      <c r="E424" s="25">
        <v>1</v>
      </c>
      <c r="F424" s="24">
        <v>46179</v>
      </c>
      <c r="G424" s="23" t="s">
        <v>274</v>
      </c>
      <c r="H424" s="26">
        <v>42</v>
      </c>
      <c r="I424" s="24">
        <f t="shared" si="18"/>
        <v>46221</v>
      </c>
      <c r="J424" s="26">
        <f t="shared" ca="1" si="19"/>
        <v>-83</v>
      </c>
      <c r="K424" s="26" t="str">
        <f t="shared" ca="1" si="20"/>
        <v/>
      </c>
      <c r="L424" s="27" t="s">
        <v>1567</v>
      </c>
      <c r="M424" s="26" t="str">
        <f ca="1">IF(L424&lt;&gt;"","Entregado",IF(NOT(ISNUMBER(IF(Q424&lt;&gt;"",Q424,I424))),"REVISAR TE",IF(AND(ISNUMBER(Resumen!$B$3),IF(Q424&lt;&gt;"",Q424,I424)&lt;Resumen!$B$3),"REVISAR",IF(IF(Q424&lt;&gt;"",Q424,I424)&lt;TODAY(),"ATRASADO",IF(IF(Q424&lt;&gt;"",Q424,I424)-TODAY()&lt;=2,"POR VENCER","EN TIEMPO")))))</f>
        <v>Entregado</v>
      </c>
      <c r="N424" s="23" t="s">
        <v>214</v>
      </c>
      <c r="P424" s="23" t="s">
        <v>844</v>
      </c>
      <c r="Q424" s="28"/>
    </row>
    <row r="425" spans="1:17" ht="16.5" hidden="1" x14ac:dyDescent="0.3">
      <c r="A425" s="23" t="s">
        <v>842</v>
      </c>
      <c r="B425" s="23" t="s">
        <v>53</v>
      </c>
      <c r="C425" s="23" t="s">
        <v>858</v>
      </c>
      <c r="D425" s="24">
        <v>46179</v>
      </c>
      <c r="E425" s="25">
        <v>1</v>
      </c>
      <c r="F425" s="24">
        <v>46179</v>
      </c>
      <c r="G425" s="23" t="s">
        <v>274</v>
      </c>
      <c r="H425" s="26">
        <v>42</v>
      </c>
      <c r="I425" s="24">
        <f t="shared" si="18"/>
        <v>46221</v>
      </c>
      <c r="J425" s="26">
        <f t="shared" ca="1" si="19"/>
        <v>-83</v>
      </c>
      <c r="K425" s="26" t="str">
        <f t="shared" ca="1" si="20"/>
        <v/>
      </c>
      <c r="L425" s="27" t="s">
        <v>1567</v>
      </c>
      <c r="M425" s="26" t="str">
        <f ca="1">IF(L425&lt;&gt;"","Entregado",IF(NOT(ISNUMBER(IF(Q425&lt;&gt;"",Q425,I425))),"REVISAR TE",IF(AND(ISNUMBER(Resumen!$B$3),IF(Q425&lt;&gt;"",Q425,I425)&lt;Resumen!$B$3),"REVISAR",IF(IF(Q425&lt;&gt;"",Q425,I425)&lt;TODAY(),"ATRASADO",IF(IF(Q425&lt;&gt;"",Q425,I425)-TODAY()&lt;=2,"POR VENCER","EN TIEMPO")))))</f>
        <v>Entregado</v>
      </c>
      <c r="N425" s="23" t="s">
        <v>245</v>
      </c>
      <c r="P425" s="23" t="s">
        <v>844</v>
      </c>
      <c r="Q425" s="28"/>
    </row>
    <row r="426" spans="1:17" ht="16.5" hidden="1" x14ac:dyDescent="0.3">
      <c r="A426" s="23" t="s">
        <v>842</v>
      </c>
      <c r="B426" s="23" t="s">
        <v>53</v>
      </c>
      <c r="C426" s="23" t="s">
        <v>859</v>
      </c>
      <c r="D426" s="24">
        <v>46179</v>
      </c>
      <c r="E426" s="25">
        <v>1</v>
      </c>
      <c r="F426" s="24">
        <v>46179</v>
      </c>
      <c r="G426" s="23" t="s">
        <v>274</v>
      </c>
      <c r="H426" s="26">
        <v>42</v>
      </c>
      <c r="I426" s="24">
        <f t="shared" si="18"/>
        <v>46221</v>
      </c>
      <c r="J426" s="26">
        <f t="shared" ca="1" si="19"/>
        <v>-83</v>
      </c>
      <c r="K426" s="26" t="str">
        <f t="shared" ca="1" si="20"/>
        <v/>
      </c>
      <c r="L426" s="27" t="s">
        <v>1567</v>
      </c>
      <c r="M426" s="26" t="str">
        <f ca="1">IF(L426&lt;&gt;"","Entregado",IF(NOT(ISNUMBER(IF(Q426&lt;&gt;"",Q426,I426))),"REVISAR TE",IF(AND(ISNUMBER(Resumen!$B$3),IF(Q426&lt;&gt;"",Q426,I426)&lt;Resumen!$B$3),"REVISAR",IF(IF(Q426&lt;&gt;"",Q426,I426)&lt;TODAY(),"ATRASADO",IF(IF(Q426&lt;&gt;"",Q426,I426)-TODAY()&lt;=2,"POR VENCER","EN TIEMPO")))))</f>
        <v>Entregado</v>
      </c>
      <c r="N426" s="23" t="s">
        <v>245</v>
      </c>
      <c r="P426" s="23" t="s">
        <v>844</v>
      </c>
      <c r="Q426" s="28"/>
    </row>
    <row r="427" spans="1:17" ht="16.5" hidden="1" x14ac:dyDescent="0.3">
      <c r="A427" s="23" t="s">
        <v>842</v>
      </c>
      <c r="B427" s="23" t="s">
        <v>53</v>
      </c>
      <c r="C427" s="23" t="s">
        <v>860</v>
      </c>
      <c r="D427" s="24">
        <v>46179</v>
      </c>
      <c r="E427" s="25">
        <v>1</v>
      </c>
      <c r="F427" s="24">
        <v>46179</v>
      </c>
      <c r="G427" s="23" t="s">
        <v>274</v>
      </c>
      <c r="H427" s="26">
        <v>42</v>
      </c>
      <c r="I427" s="24">
        <f t="shared" si="18"/>
        <v>46221</v>
      </c>
      <c r="J427" s="26">
        <f t="shared" ca="1" si="19"/>
        <v>-83</v>
      </c>
      <c r="K427" s="26" t="str">
        <f t="shared" ca="1" si="20"/>
        <v/>
      </c>
      <c r="L427" s="27" t="s">
        <v>1567</v>
      </c>
      <c r="M427" s="26" t="str">
        <f ca="1">IF(L427&lt;&gt;"","Entregado",IF(NOT(ISNUMBER(IF(Q427&lt;&gt;"",Q427,I427))),"REVISAR TE",IF(AND(ISNUMBER(Resumen!$B$3),IF(Q427&lt;&gt;"",Q427,I427)&lt;Resumen!$B$3),"REVISAR",IF(IF(Q427&lt;&gt;"",Q427,I427)&lt;TODAY(),"ATRASADO",IF(IF(Q427&lt;&gt;"",Q427,I427)-TODAY()&lt;=2,"POR VENCER","EN TIEMPO")))))</f>
        <v>Entregado</v>
      </c>
      <c r="N427" s="23" t="s">
        <v>245</v>
      </c>
      <c r="P427" s="23" t="s">
        <v>844</v>
      </c>
      <c r="Q427" s="28"/>
    </row>
    <row r="428" spans="1:17" ht="16.5" hidden="1" x14ac:dyDescent="0.3">
      <c r="A428" s="23" t="s">
        <v>842</v>
      </c>
      <c r="B428" s="23" t="s">
        <v>53</v>
      </c>
      <c r="C428" s="23" t="s">
        <v>861</v>
      </c>
      <c r="D428" s="24">
        <v>46179</v>
      </c>
      <c r="E428" s="25">
        <v>1</v>
      </c>
      <c r="F428" s="24">
        <v>46179</v>
      </c>
      <c r="G428" s="23" t="s">
        <v>274</v>
      </c>
      <c r="H428" s="26">
        <v>42</v>
      </c>
      <c r="I428" s="24">
        <f t="shared" si="18"/>
        <v>46221</v>
      </c>
      <c r="J428" s="26">
        <f t="shared" ca="1" si="19"/>
        <v>-83</v>
      </c>
      <c r="K428" s="26" t="str">
        <f t="shared" ca="1" si="20"/>
        <v/>
      </c>
      <c r="L428" s="27" t="s">
        <v>1567</v>
      </c>
      <c r="M428" s="26" t="str">
        <f ca="1">IF(L428&lt;&gt;"","Entregado",IF(NOT(ISNUMBER(IF(Q428&lt;&gt;"",Q428,I428))),"REVISAR TE",IF(AND(ISNUMBER(Resumen!$B$3),IF(Q428&lt;&gt;"",Q428,I428)&lt;Resumen!$B$3),"REVISAR",IF(IF(Q428&lt;&gt;"",Q428,I428)&lt;TODAY(),"ATRASADO",IF(IF(Q428&lt;&gt;"",Q428,I428)-TODAY()&lt;=2,"POR VENCER","EN TIEMPO")))))</f>
        <v>Entregado</v>
      </c>
      <c r="N428" s="23" t="s">
        <v>245</v>
      </c>
      <c r="P428" s="23" t="s">
        <v>844</v>
      </c>
      <c r="Q428" s="28"/>
    </row>
    <row r="429" spans="1:17" ht="16.5" hidden="1" x14ac:dyDescent="0.3">
      <c r="A429" s="23" t="s">
        <v>842</v>
      </c>
      <c r="B429" s="23" t="s">
        <v>53</v>
      </c>
      <c r="C429" s="23" t="s">
        <v>862</v>
      </c>
      <c r="D429" s="24">
        <v>46179</v>
      </c>
      <c r="E429" s="25">
        <v>1</v>
      </c>
      <c r="F429" s="24">
        <v>46179</v>
      </c>
      <c r="G429" s="23" t="s">
        <v>274</v>
      </c>
      <c r="H429" s="26">
        <v>42</v>
      </c>
      <c r="I429" s="24">
        <f t="shared" si="18"/>
        <v>46221</v>
      </c>
      <c r="J429" s="26">
        <f t="shared" ca="1" si="19"/>
        <v>-83</v>
      </c>
      <c r="K429" s="26" t="str">
        <f t="shared" ca="1" si="20"/>
        <v/>
      </c>
      <c r="L429" s="27" t="s">
        <v>1567</v>
      </c>
      <c r="M429" s="26" t="str">
        <f ca="1">IF(L429&lt;&gt;"","Entregado",IF(NOT(ISNUMBER(IF(Q429&lt;&gt;"",Q429,I429))),"REVISAR TE",IF(AND(ISNUMBER(Resumen!$B$3),IF(Q429&lt;&gt;"",Q429,I429)&lt;Resumen!$B$3),"REVISAR",IF(IF(Q429&lt;&gt;"",Q429,I429)&lt;TODAY(),"ATRASADO",IF(IF(Q429&lt;&gt;"",Q429,I429)-TODAY()&lt;=2,"POR VENCER","EN TIEMPO")))))</f>
        <v>Entregado</v>
      </c>
      <c r="N429" s="23" t="s">
        <v>245</v>
      </c>
      <c r="P429" s="23" t="s">
        <v>844</v>
      </c>
      <c r="Q429" s="28"/>
    </row>
    <row r="430" spans="1:17" ht="16.5" hidden="1" x14ac:dyDescent="0.3">
      <c r="A430" s="23" t="s">
        <v>842</v>
      </c>
      <c r="B430" s="23" t="s">
        <v>53</v>
      </c>
      <c r="C430" s="23" t="s">
        <v>863</v>
      </c>
      <c r="D430" s="24">
        <v>46179</v>
      </c>
      <c r="E430" s="25">
        <v>1</v>
      </c>
      <c r="F430" s="24">
        <v>46179</v>
      </c>
      <c r="G430" s="23" t="s">
        <v>274</v>
      </c>
      <c r="H430" s="26">
        <v>42</v>
      </c>
      <c r="I430" s="24">
        <f t="shared" si="18"/>
        <v>46221</v>
      </c>
      <c r="J430" s="26">
        <f t="shared" ca="1" si="19"/>
        <v>-83</v>
      </c>
      <c r="K430" s="26" t="str">
        <f t="shared" ca="1" si="20"/>
        <v/>
      </c>
      <c r="L430" s="27" t="s">
        <v>1567</v>
      </c>
      <c r="M430" s="26" t="str">
        <f ca="1">IF(L430&lt;&gt;"","Entregado",IF(NOT(ISNUMBER(IF(Q430&lt;&gt;"",Q430,I430))),"REVISAR TE",IF(AND(ISNUMBER(Resumen!$B$3),IF(Q430&lt;&gt;"",Q430,I430)&lt;Resumen!$B$3),"REVISAR",IF(IF(Q430&lt;&gt;"",Q430,I430)&lt;TODAY(),"ATRASADO",IF(IF(Q430&lt;&gt;"",Q430,I430)-TODAY()&lt;=2,"POR VENCER","EN TIEMPO")))))</f>
        <v>Entregado</v>
      </c>
      <c r="N430" s="23" t="s">
        <v>214</v>
      </c>
      <c r="P430" s="23" t="s">
        <v>844</v>
      </c>
      <c r="Q430" s="28"/>
    </row>
    <row r="431" spans="1:17" ht="16.5" hidden="1" x14ac:dyDescent="0.3">
      <c r="A431" s="23" t="s">
        <v>842</v>
      </c>
      <c r="B431" s="23" t="s">
        <v>53</v>
      </c>
      <c r="C431" s="23" t="s">
        <v>864</v>
      </c>
      <c r="D431" s="24">
        <v>46179</v>
      </c>
      <c r="E431" s="25">
        <v>5</v>
      </c>
      <c r="F431" s="24">
        <v>46179</v>
      </c>
      <c r="G431" s="23" t="s">
        <v>274</v>
      </c>
      <c r="H431" s="26">
        <v>42</v>
      </c>
      <c r="I431" s="24">
        <f t="shared" si="18"/>
        <v>46221</v>
      </c>
      <c r="J431" s="26">
        <f t="shared" ca="1" si="19"/>
        <v>-83</v>
      </c>
      <c r="K431" s="26" t="str">
        <f t="shared" ca="1" si="20"/>
        <v/>
      </c>
      <c r="L431" s="27" t="s">
        <v>1567</v>
      </c>
      <c r="M431" s="26" t="str">
        <f ca="1">IF(L431&lt;&gt;"","Entregado",IF(NOT(ISNUMBER(IF(Q431&lt;&gt;"",Q431,I431))),"REVISAR TE",IF(AND(ISNUMBER(Resumen!$B$3),IF(Q431&lt;&gt;"",Q431,I431)&lt;Resumen!$B$3),"REVISAR",IF(IF(Q431&lt;&gt;"",Q431,I431)&lt;TODAY(),"ATRASADO",IF(IF(Q431&lt;&gt;"",Q431,I431)-TODAY()&lt;=2,"POR VENCER","EN TIEMPO")))))</f>
        <v>Entregado</v>
      </c>
      <c r="N431" s="23" t="s">
        <v>94</v>
      </c>
      <c r="P431" s="23" t="s">
        <v>844</v>
      </c>
      <c r="Q431" s="28"/>
    </row>
    <row r="432" spans="1:17" ht="16.5" hidden="1" x14ac:dyDescent="0.3">
      <c r="A432" s="23" t="s">
        <v>842</v>
      </c>
      <c r="B432" s="23" t="s">
        <v>53</v>
      </c>
      <c r="C432" s="23" t="s">
        <v>865</v>
      </c>
      <c r="D432" s="24">
        <v>46179</v>
      </c>
      <c r="E432" s="25">
        <v>5</v>
      </c>
      <c r="F432" s="24">
        <v>46179</v>
      </c>
      <c r="G432" s="23" t="s">
        <v>274</v>
      </c>
      <c r="H432" s="26">
        <v>42</v>
      </c>
      <c r="I432" s="24">
        <f t="shared" si="18"/>
        <v>46221</v>
      </c>
      <c r="J432" s="26">
        <f t="shared" ca="1" si="19"/>
        <v>-83</v>
      </c>
      <c r="K432" s="26" t="str">
        <f t="shared" ca="1" si="20"/>
        <v/>
      </c>
      <c r="L432" s="27" t="s">
        <v>1567</v>
      </c>
      <c r="M432" s="26" t="str">
        <f ca="1">IF(L432&lt;&gt;"","Entregado",IF(NOT(ISNUMBER(IF(Q432&lt;&gt;"",Q432,I432))),"REVISAR TE",IF(AND(ISNUMBER(Resumen!$B$3),IF(Q432&lt;&gt;"",Q432,I432)&lt;Resumen!$B$3),"REVISAR",IF(IF(Q432&lt;&gt;"",Q432,I432)&lt;TODAY(),"ATRASADO",IF(IF(Q432&lt;&gt;"",Q432,I432)-TODAY()&lt;=2,"POR VENCER","EN TIEMPO")))))</f>
        <v>Entregado</v>
      </c>
      <c r="N432" s="23" t="s">
        <v>94</v>
      </c>
      <c r="P432" s="23" t="s">
        <v>844</v>
      </c>
      <c r="Q432" s="28"/>
    </row>
    <row r="433" spans="1:17" ht="16.5" hidden="1" x14ac:dyDescent="0.3">
      <c r="A433" s="23" t="s">
        <v>842</v>
      </c>
      <c r="B433" s="23" t="s">
        <v>53</v>
      </c>
      <c r="C433" s="23" t="s">
        <v>866</v>
      </c>
      <c r="D433" s="24">
        <v>46179</v>
      </c>
      <c r="E433" s="25">
        <v>5</v>
      </c>
      <c r="F433" s="24">
        <v>46179</v>
      </c>
      <c r="G433" s="23" t="s">
        <v>274</v>
      </c>
      <c r="H433" s="26">
        <v>42</v>
      </c>
      <c r="I433" s="24">
        <f t="shared" si="18"/>
        <v>46221</v>
      </c>
      <c r="J433" s="26">
        <f t="shared" ca="1" si="19"/>
        <v>-83</v>
      </c>
      <c r="K433" s="26" t="str">
        <f t="shared" ca="1" si="20"/>
        <v/>
      </c>
      <c r="L433" s="27" t="s">
        <v>1567</v>
      </c>
      <c r="M433" s="26" t="str">
        <f ca="1">IF(L433&lt;&gt;"","Entregado",IF(NOT(ISNUMBER(IF(Q433&lt;&gt;"",Q433,I433))),"REVISAR TE",IF(AND(ISNUMBER(Resumen!$B$3),IF(Q433&lt;&gt;"",Q433,I433)&lt;Resumen!$B$3),"REVISAR",IF(IF(Q433&lt;&gt;"",Q433,I433)&lt;TODAY(),"ATRASADO",IF(IF(Q433&lt;&gt;"",Q433,I433)-TODAY()&lt;=2,"POR VENCER","EN TIEMPO")))))</f>
        <v>Entregado</v>
      </c>
      <c r="N433" s="23" t="s">
        <v>94</v>
      </c>
      <c r="P433" s="23" t="s">
        <v>844</v>
      </c>
      <c r="Q433" s="28"/>
    </row>
    <row r="434" spans="1:17" ht="16.5" hidden="1" x14ac:dyDescent="0.3">
      <c r="A434" s="23" t="s">
        <v>842</v>
      </c>
      <c r="B434" s="23" t="s">
        <v>53</v>
      </c>
      <c r="C434" s="23" t="s">
        <v>867</v>
      </c>
      <c r="D434" s="24">
        <v>46179</v>
      </c>
      <c r="E434" s="25">
        <v>5</v>
      </c>
      <c r="F434" s="24">
        <v>46179</v>
      </c>
      <c r="G434" s="23" t="s">
        <v>274</v>
      </c>
      <c r="H434" s="26">
        <v>42</v>
      </c>
      <c r="I434" s="24">
        <f t="shared" si="18"/>
        <v>46221</v>
      </c>
      <c r="J434" s="26">
        <f t="shared" ca="1" si="19"/>
        <v>-83</v>
      </c>
      <c r="K434" s="26" t="str">
        <f t="shared" ca="1" si="20"/>
        <v/>
      </c>
      <c r="L434" s="27" t="s">
        <v>1567</v>
      </c>
      <c r="M434" s="26" t="str">
        <f ca="1">IF(L434&lt;&gt;"","Entregado",IF(NOT(ISNUMBER(IF(Q434&lt;&gt;"",Q434,I434))),"REVISAR TE",IF(AND(ISNUMBER(Resumen!$B$3),IF(Q434&lt;&gt;"",Q434,I434)&lt;Resumen!$B$3),"REVISAR",IF(IF(Q434&lt;&gt;"",Q434,I434)&lt;TODAY(),"ATRASADO",IF(IF(Q434&lt;&gt;"",Q434,I434)-TODAY()&lt;=2,"POR VENCER","EN TIEMPO")))))</f>
        <v>Entregado</v>
      </c>
      <c r="N434" s="23" t="s">
        <v>94</v>
      </c>
      <c r="P434" s="23" t="s">
        <v>844</v>
      </c>
      <c r="Q434" s="28"/>
    </row>
    <row r="435" spans="1:17" ht="16.5" hidden="1" x14ac:dyDescent="0.3">
      <c r="A435" s="23" t="s">
        <v>842</v>
      </c>
      <c r="B435" s="23" t="s">
        <v>53</v>
      </c>
      <c r="C435" s="23" t="s">
        <v>868</v>
      </c>
      <c r="D435" s="24">
        <v>46179</v>
      </c>
      <c r="E435" s="25">
        <v>5</v>
      </c>
      <c r="F435" s="24">
        <v>46179</v>
      </c>
      <c r="G435" s="23" t="s">
        <v>274</v>
      </c>
      <c r="H435" s="26">
        <v>42</v>
      </c>
      <c r="I435" s="24">
        <f t="shared" si="18"/>
        <v>46221</v>
      </c>
      <c r="J435" s="26">
        <f t="shared" ca="1" si="19"/>
        <v>-83</v>
      </c>
      <c r="K435" s="26" t="str">
        <f t="shared" ca="1" si="20"/>
        <v/>
      </c>
      <c r="L435" s="27" t="s">
        <v>1567</v>
      </c>
      <c r="M435" s="26" t="str">
        <f ca="1">IF(L435&lt;&gt;"","Entregado",IF(NOT(ISNUMBER(IF(Q435&lt;&gt;"",Q435,I435))),"REVISAR TE",IF(AND(ISNUMBER(Resumen!$B$3),IF(Q435&lt;&gt;"",Q435,I435)&lt;Resumen!$B$3),"REVISAR",IF(IF(Q435&lt;&gt;"",Q435,I435)&lt;TODAY(),"ATRASADO",IF(IF(Q435&lt;&gt;"",Q435,I435)-TODAY()&lt;=2,"POR VENCER","EN TIEMPO")))))</f>
        <v>Entregado</v>
      </c>
      <c r="N435" s="23" t="s">
        <v>94</v>
      </c>
      <c r="P435" s="23" t="s">
        <v>844</v>
      </c>
      <c r="Q435" s="28"/>
    </row>
    <row r="436" spans="1:17" ht="16.5" hidden="1" x14ac:dyDescent="0.3">
      <c r="A436" s="23" t="s">
        <v>842</v>
      </c>
      <c r="B436" s="23" t="s">
        <v>53</v>
      </c>
      <c r="C436" s="23" t="s">
        <v>869</v>
      </c>
      <c r="D436" s="24">
        <v>46179</v>
      </c>
      <c r="E436" s="25">
        <v>5</v>
      </c>
      <c r="F436" s="24">
        <v>46179</v>
      </c>
      <c r="G436" s="23" t="s">
        <v>274</v>
      </c>
      <c r="H436" s="26">
        <v>42</v>
      </c>
      <c r="I436" s="24">
        <f t="shared" si="18"/>
        <v>46221</v>
      </c>
      <c r="J436" s="26">
        <f t="shared" ca="1" si="19"/>
        <v>-83</v>
      </c>
      <c r="K436" s="26" t="str">
        <f t="shared" ca="1" si="20"/>
        <v/>
      </c>
      <c r="L436" s="27" t="s">
        <v>1567</v>
      </c>
      <c r="M436" s="26" t="str">
        <f ca="1">IF(L436&lt;&gt;"","Entregado",IF(NOT(ISNUMBER(IF(Q436&lt;&gt;"",Q436,I436))),"REVISAR TE",IF(AND(ISNUMBER(Resumen!$B$3),IF(Q436&lt;&gt;"",Q436,I436)&lt;Resumen!$B$3),"REVISAR",IF(IF(Q436&lt;&gt;"",Q436,I436)&lt;TODAY(),"ATRASADO",IF(IF(Q436&lt;&gt;"",Q436,I436)-TODAY()&lt;=2,"POR VENCER","EN TIEMPO")))))</f>
        <v>Entregado</v>
      </c>
      <c r="N436" s="23" t="s">
        <v>94</v>
      </c>
      <c r="P436" s="23" t="s">
        <v>844</v>
      </c>
      <c r="Q436" s="28"/>
    </row>
    <row r="437" spans="1:17" ht="16.5" hidden="1" x14ac:dyDescent="0.3">
      <c r="A437" s="23" t="s">
        <v>870</v>
      </c>
      <c r="B437" s="23" t="s">
        <v>52</v>
      </c>
      <c r="C437" s="23" t="s">
        <v>871</v>
      </c>
      <c r="D437" s="24">
        <v>46181</v>
      </c>
      <c r="E437" s="25">
        <v>1</v>
      </c>
      <c r="F437" s="24">
        <v>46181</v>
      </c>
      <c r="G437" s="23" t="s">
        <v>180</v>
      </c>
      <c r="H437" s="26">
        <v>14</v>
      </c>
      <c r="I437" s="24">
        <f t="shared" si="18"/>
        <v>46195</v>
      </c>
      <c r="J437" s="26">
        <f t="shared" ca="1" si="19"/>
        <v>-109</v>
      </c>
      <c r="K437" s="26" t="str">
        <f t="shared" ca="1" si="20"/>
        <v/>
      </c>
      <c r="L437" s="27" t="s">
        <v>1567</v>
      </c>
      <c r="M437" s="26" t="str">
        <f ca="1">IF(L437&lt;&gt;"","Entregado",IF(NOT(ISNUMBER(IF(Q437&lt;&gt;"",Q437,I437))),"REVISAR TE",IF(AND(ISNUMBER(Resumen!$B$3),IF(Q437&lt;&gt;"",Q437,I437)&lt;Resumen!$B$3),"REVISAR",IF(IF(Q437&lt;&gt;"",Q437,I437)&lt;TODAY(),"ATRASADO",IF(IF(Q437&lt;&gt;"",Q437,I437)-TODAY()&lt;=2,"POR VENCER","EN TIEMPO")))))</f>
        <v>Entregado</v>
      </c>
      <c r="N437" s="23" t="s">
        <v>165</v>
      </c>
      <c r="P437" s="23" t="s">
        <v>872</v>
      </c>
      <c r="Q437" s="28"/>
    </row>
    <row r="438" spans="1:17" ht="16.5" hidden="1" x14ac:dyDescent="0.3">
      <c r="A438" s="23" t="s">
        <v>873</v>
      </c>
      <c r="B438" s="23" t="s">
        <v>59</v>
      </c>
      <c r="C438" s="23" t="s">
        <v>875</v>
      </c>
      <c r="D438" s="24">
        <v>46182</v>
      </c>
      <c r="E438" s="25">
        <v>16</v>
      </c>
      <c r="F438" s="24">
        <v>46182</v>
      </c>
      <c r="G438" s="23" t="s">
        <v>171</v>
      </c>
      <c r="H438" s="26">
        <v>7</v>
      </c>
      <c r="I438" s="24">
        <f t="shared" si="18"/>
        <v>46189</v>
      </c>
      <c r="J438" s="26">
        <f t="shared" ca="1" si="19"/>
        <v>-115</v>
      </c>
      <c r="K438" s="26" t="str">
        <f t="shared" ca="1" si="20"/>
        <v/>
      </c>
      <c r="L438" s="27" t="s">
        <v>1567</v>
      </c>
      <c r="M438" s="26" t="str">
        <f ca="1">IF(L438&lt;&gt;"","Entregado",IF(NOT(ISNUMBER(IF(Q438&lt;&gt;"",Q438,I438))),"REVISAR TE",IF(AND(ISNUMBER(Resumen!$B$3),IF(Q438&lt;&gt;"",Q438,I438)&lt;Resumen!$B$3),"REVISAR",IF(IF(Q438&lt;&gt;"",Q438,I438)&lt;TODAY(),"ATRASADO",IF(IF(Q438&lt;&gt;"",Q438,I438)-TODAY()&lt;=2,"POR VENCER","EN TIEMPO")))))</f>
        <v>Entregado</v>
      </c>
      <c r="N438" s="23" t="s">
        <v>874</v>
      </c>
      <c r="P438" s="23" t="s">
        <v>876</v>
      </c>
      <c r="Q438" s="28"/>
    </row>
    <row r="439" spans="1:17" ht="16.5" hidden="1" x14ac:dyDescent="0.3">
      <c r="A439" s="23" t="s">
        <v>877</v>
      </c>
      <c r="B439" s="23" t="s">
        <v>52</v>
      </c>
      <c r="C439" s="23" t="s">
        <v>878</v>
      </c>
      <c r="D439" s="24">
        <v>46183</v>
      </c>
      <c r="E439" s="25">
        <v>2</v>
      </c>
      <c r="F439" s="24">
        <v>46183</v>
      </c>
      <c r="G439" s="23" t="s">
        <v>128</v>
      </c>
      <c r="H439" s="26">
        <v>5</v>
      </c>
      <c r="I439" s="24">
        <f t="shared" si="18"/>
        <v>46188</v>
      </c>
      <c r="J439" s="26">
        <f t="shared" ca="1" si="19"/>
        <v>-116</v>
      </c>
      <c r="K439" s="26" t="str">
        <f t="shared" ca="1" si="20"/>
        <v/>
      </c>
      <c r="L439" s="27" t="s">
        <v>1567</v>
      </c>
      <c r="M439" s="26" t="str">
        <f ca="1">IF(L439&lt;&gt;"","Entregado",IF(NOT(ISNUMBER(IF(Q439&lt;&gt;"",Q439,I439))),"REVISAR TE",IF(AND(ISNUMBER(Resumen!$B$3),IF(Q439&lt;&gt;"",Q439,I439)&lt;Resumen!$B$3),"REVISAR",IF(IF(Q439&lt;&gt;"",Q439,I439)&lt;TODAY(),"ATRASADO",IF(IF(Q439&lt;&gt;"",Q439,I439)-TODAY()&lt;=2,"POR VENCER","EN TIEMPO")))))</f>
        <v>Entregado</v>
      </c>
      <c r="N439" s="23" t="s">
        <v>388</v>
      </c>
      <c r="P439" s="23" t="s">
        <v>879</v>
      </c>
      <c r="Q439" s="28"/>
    </row>
    <row r="440" spans="1:17" ht="16.5" hidden="1" x14ac:dyDescent="0.3">
      <c r="A440" s="23" t="s">
        <v>880</v>
      </c>
      <c r="B440" s="23" t="s">
        <v>52</v>
      </c>
      <c r="C440" s="23" t="s">
        <v>881</v>
      </c>
      <c r="D440" s="24">
        <v>46183</v>
      </c>
      <c r="E440" s="25">
        <v>1</v>
      </c>
      <c r="F440" s="24">
        <v>46183</v>
      </c>
      <c r="G440" s="23" t="s">
        <v>196</v>
      </c>
      <c r="H440" s="26">
        <v>10</v>
      </c>
      <c r="I440" s="24">
        <f t="shared" si="18"/>
        <v>46193</v>
      </c>
      <c r="J440" s="26">
        <f t="shared" ca="1" si="19"/>
        <v>-111</v>
      </c>
      <c r="K440" s="26" t="str">
        <f t="shared" ca="1" si="20"/>
        <v/>
      </c>
      <c r="L440" s="27" t="s">
        <v>1567</v>
      </c>
      <c r="M440" s="26" t="str">
        <f ca="1">IF(L440&lt;&gt;"","Entregado",IF(NOT(ISNUMBER(IF(Q440&lt;&gt;"",Q440,I440))),"REVISAR TE",IF(AND(ISNUMBER(Resumen!$B$3),IF(Q440&lt;&gt;"",Q440,I440)&lt;Resumen!$B$3),"REVISAR",IF(IF(Q440&lt;&gt;"",Q440,I440)&lt;TODAY(),"ATRASADO",IF(IF(Q440&lt;&gt;"",Q440,I440)-TODAY()&lt;=2,"POR VENCER","EN TIEMPO")))))</f>
        <v>Entregado</v>
      </c>
      <c r="N440" s="23" t="s">
        <v>165</v>
      </c>
      <c r="P440" s="23" t="s">
        <v>882</v>
      </c>
      <c r="Q440" s="28"/>
    </row>
    <row r="441" spans="1:17" ht="16.5" hidden="1" x14ac:dyDescent="0.3">
      <c r="A441" s="23" t="s">
        <v>883</v>
      </c>
      <c r="B441" s="23" t="s">
        <v>52</v>
      </c>
      <c r="C441" s="23" t="s">
        <v>884</v>
      </c>
      <c r="D441" s="24">
        <v>46183</v>
      </c>
      <c r="E441" s="25">
        <v>1</v>
      </c>
      <c r="F441" s="24">
        <v>46183</v>
      </c>
      <c r="G441" s="23" t="s">
        <v>171</v>
      </c>
      <c r="H441" s="26">
        <v>7</v>
      </c>
      <c r="I441" s="24">
        <f t="shared" si="18"/>
        <v>46190</v>
      </c>
      <c r="J441" s="26">
        <f t="shared" ca="1" si="19"/>
        <v>-114</v>
      </c>
      <c r="K441" s="26" t="str">
        <f t="shared" ca="1" si="20"/>
        <v/>
      </c>
      <c r="L441" s="27" t="s">
        <v>1567</v>
      </c>
      <c r="M441" s="26" t="str">
        <f ca="1">IF(L441&lt;&gt;"","Entregado",IF(NOT(ISNUMBER(IF(Q441&lt;&gt;"",Q441,I441))),"REVISAR TE",IF(AND(ISNUMBER(Resumen!$B$3),IF(Q441&lt;&gt;"",Q441,I441)&lt;Resumen!$B$3),"REVISAR",IF(IF(Q441&lt;&gt;"",Q441,I441)&lt;TODAY(),"ATRASADO",IF(IF(Q441&lt;&gt;"",Q441,I441)-TODAY()&lt;=2,"POR VENCER","EN TIEMPO")))))</f>
        <v>Entregado</v>
      </c>
      <c r="N441" s="23" t="s">
        <v>165</v>
      </c>
      <c r="P441" s="23" t="s">
        <v>885</v>
      </c>
      <c r="Q441" s="28"/>
    </row>
    <row r="442" spans="1:17" ht="16.5" hidden="1" x14ac:dyDescent="0.3">
      <c r="A442" s="23" t="s">
        <v>886</v>
      </c>
      <c r="B442" s="23" t="s">
        <v>52</v>
      </c>
      <c r="C442" s="23" t="s">
        <v>887</v>
      </c>
      <c r="D442" s="24">
        <v>46183</v>
      </c>
      <c r="E442" s="25">
        <v>1</v>
      </c>
      <c r="F442" s="24">
        <v>46183</v>
      </c>
      <c r="G442" s="23" t="s">
        <v>128</v>
      </c>
      <c r="H442" s="26">
        <v>5</v>
      </c>
      <c r="I442" s="24">
        <f t="shared" si="18"/>
        <v>46188</v>
      </c>
      <c r="J442" s="26">
        <f t="shared" ca="1" si="19"/>
        <v>-116</v>
      </c>
      <c r="K442" s="26" t="str">
        <f t="shared" ca="1" si="20"/>
        <v/>
      </c>
      <c r="L442" s="27" t="s">
        <v>1567</v>
      </c>
      <c r="M442" s="26" t="str">
        <f ca="1">IF(L442&lt;&gt;"","Entregado",IF(NOT(ISNUMBER(IF(Q442&lt;&gt;"",Q442,I442))),"REVISAR TE",IF(AND(ISNUMBER(Resumen!$B$3),IF(Q442&lt;&gt;"",Q442,I442)&lt;Resumen!$B$3),"REVISAR",IF(IF(Q442&lt;&gt;"",Q442,I442)&lt;TODAY(),"ATRASADO",IF(IF(Q442&lt;&gt;"",Q442,I442)-TODAY()&lt;=2,"POR VENCER","EN TIEMPO")))))</f>
        <v>Entregado</v>
      </c>
      <c r="N442" s="23" t="s">
        <v>672</v>
      </c>
      <c r="P442" s="23" t="s">
        <v>888</v>
      </c>
      <c r="Q442" s="28"/>
    </row>
    <row r="443" spans="1:17" ht="16.5" hidden="1" x14ac:dyDescent="0.3">
      <c r="A443" s="23" t="s">
        <v>889</v>
      </c>
      <c r="B443" s="23" t="s">
        <v>52</v>
      </c>
      <c r="C443" s="23" t="s">
        <v>890</v>
      </c>
      <c r="D443" s="24">
        <v>46183</v>
      </c>
      <c r="E443" s="25">
        <v>1</v>
      </c>
      <c r="F443" s="24">
        <v>46183</v>
      </c>
      <c r="G443" s="23" t="s">
        <v>137</v>
      </c>
      <c r="H443" s="26">
        <v>28</v>
      </c>
      <c r="I443" s="24">
        <f t="shared" si="18"/>
        <v>46211</v>
      </c>
      <c r="J443" s="26">
        <f t="shared" ca="1" si="19"/>
        <v>-93</v>
      </c>
      <c r="K443" s="26" t="str">
        <f t="shared" ca="1" si="20"/>
        <v/>
      </c>
      <c r="L443" s="27" t="s">
        <v>1567</v>
      </c>
      <c r="M443" s="26" t="str">
        <f ca="1">IF(L443&lt;&gt;"","Entregado",IF(NOT(ISNUMBER(IF(Q443&lt;&gt;"",Q443,I443))),"REVISAR TE",IF(AND(ISNUMBER(Resumen!$B$3),IF(Q443&lt;&gt;"",Q443,I443)&lt;Resumen!$B$3),"REVISAR",IF(IF(Q443&lt;&gt;"",Q443,I443)&lt;TODAY(),"ATRASADO",IF(IF(Q443&lt;&gt;"",Q443,I443)-TODAY()&lt;=2,"POR VENCER","EN TIEMPO")))))</f>
        <v>Entregado</v>
      </c>
      <c r="N443" s="23" t="s">
        <v>245</v>
      </c>
      <c r="P443" s="23" t="s">
        <v>891</v>
      </c>
      <c r="Q443" s="28"/>
    </row>
    <row r="444" spans="1:17" ht="16.5" hidden="1" x14ac:dyDescent="0.3">
      <c r="A444" s="23" t="s">
        <v>892</v>
      </c>
      <c r="B444" s="23" t="s">
        <v>54</v>
      </c>
      <c r="C444" s="23" t="s">
        <v>893</v>
      </c>
      <c r="D444" s="24">
        <v>46183</v>
      </c>
      <c r="E444" s="25">
        <v>1</v>
      </c>
      <c r="F444" s="24">
        <v>46183</v>
      </c>
      <c r="G444" s="23"/>
      <c r="H444" s="26"/>
      <c r="I444" s="24" t="str">
        <f t="shared" si="18"/>
        <v/>
      </c>
      <c r="J444" s="26" t="e">
        <f t="shared" ca="1" si="19"/>
        <v>#VALUE!</v>
      </c>
      <c r="K444" s="26" t="str">
        <f t="shared" ca="1" si="20"/>
        <v/>
      </c>
      <c r="L444" s="27" t="s">
        <v>1567</v>
      </c>
      <c r="M444" s="26" t="str">
        <f ca="1">IF(L444&lt;&gt;"","Entregado",IF(NOT(ISNUMBER(IF(Q444&lt;&gt;"",Q444,I444))),"REVISAR TE",IF(AND(ISNUMBER(Resumen!$B$3),IF(Q444&lt;&gt;"",Q444,I444)&lt;Resumen!$B$3),"REVISAR",IF(IF(Q444&lt;&gt;"",Q444,I444)&lt;TODAY(),"ATRASADO",IF(IF(Q444&lt;&gt;"",Q444,I444)-TODAY()&lt;=2,"POR VENCER","EN TIEMPO")))))</f>
        <v>Entregado</v>
      </c>
      <c r="N444" s="23" t="s">
        <v>216</v>
      </c>
      <c r="P444" s="23" t="s">
        <v>894</v>
      </c>
      <c r="Q444" s="28"/>
    </row>
    <row r="445" spans="1:17" ht="16.5" hidden="1" x14ac:dyDescent="0.3">
      <c r="A445" s="23" t="s">
        <v>892</v>
      </c>
      <c r="B445" s="23" t="s">
        <v>54</v>
      </c>
      <c r="C445" s="23" t="s">
        <v>895</v>
      </c>
      <c r="D445" s="24">
        <v>46183</v>
      </c>
      <c r="E445" s="25">
        <v>1</v>
      </c>
      <c r="F445" s="24">
        <v>46183</v>
      </c>
      <c r="G445" s="23"/>
      <c r="H445" s="26"/>
      <c r="I445" s="24" t="str">
        <f t="shared" si="18"/>
        <v/>
      </c>
      <c r="J445" s="26" t="e">
        <f t="shared" ca="1" si="19"/>
        <v>#VALUE!</v>
      </c>
      <c r="K445" s="26" t="str">
        <f t="shared" ca="1" si="20"/>
        <v/>
      </c>
      <c r="L445" s="27" t="s">
        <v>1567</v>
      </c>
      <c r="M445" s="26" t="str">
        <f ca="1">IF(L445&lt;&gt;"","Entregado",IF(NOT(ISNUMBER(IF(Q445&lt;&gt;"",Q445,I445))),"REVISAR TE",IF(AND(ISNUMBER(Resumen!$B$3),IF(Q445&lt;&gt;"",Q445,I445)&lt;Resumen!$B$3),"REVISAR",IF(IF(Q445&lt;&gt;"",Q445,I445)&lt;TODAY(),"ATRASADO",IF(IF(Q445&lt;&gt;"",Q445,I445)-TODAY()&lt;=2,"POR VENCER","EN TIEMPO")))))</f>
        <v>Entregado</v>
      </c>
      <c r="N445" s="23" t="s">
        <v>216</v>
      </c>
      <c r="P445" s="23" t="s">
        <v>894</v>
      </c>
      <c r="Q445" s="28"/>
    </row>
    <row r="446" spans="1:17" ht="16.5" hidden="1" x14ac:dyDescent="0.3">
      <c r="A446" s="23" t="s">
        <v>892</v>
      </c>
      <c r="B446" s="23" t="s">
        <v>54</v>
      </c>
      <c r="C446" s="23" t="s">
        <v>896</v>
      </c>
      <c r="D446" s="24">
        <v>46183</v>
      </c>
      <c r="E446" s="25">
        <v>1</v>
      </c>
      <c r="F446" s="24">
        <v>46183</v>
      </c>
      <c r="G446" s="23"/>
      <c r="H446" s="26"/>
      <c r="I446" s="24" t="str">
        <f t="shared" si="18"/>
        <v/>
      </c>
      <c r="J446" s="26" t="e">
        <f t="shared" ca="1" si="19"/>
        <v>#VALUE!</v>
      </c>
      <c r="K446" s="26" t="str">
        <f t="shared" ca="1" si="20"/>
        <v/>
      </c>
      <c r="L446" s="27" t="s">
        <v>1567</v>
      </c>
      <c r="M446" s="26" t="str">
        <f ca="1">IF(L446&lt;&gt;"","Entregado",IF(NOT(ISNUMBER(IF(Q446&lt;&gt;"",Q446,I446))),"REVISAR TE",IF(AND(ISNUMBER(Resumen!$B$3),IF(Q446&lt;&gt;"",Q446,I446)&lt;Resumen!$B$3),"REVISAR",IF(IF(Q446&lt;&gt;"",Q446,I446)&lt;TODAY(),"ATRASADO",IF(IF(Q446&lt;&gt;"",Q446,I446)-TODAY()&lt;=2,"POR VENCER","EN TIEMPO")))))</f>
        <v>Entregado</v>
      </c>
      <c r="N446" s="23" t="s">
        <v>216</v>
      </c>
      <c r="P446" s="23" t="s">
        <v>894</v>
      </c>
      <c r="Q446" s="28"/>
    </row>
    <row r="447" spans="1:17" ht="16.5" hidden="1" x14ac:dyDescent="0.3">
      <c r="A447" s="23" t="s">
        <v>892</v>
      </c>
      <c r="B447" s="23" t="s">
        <v>54</v>
      </c>
      <c r="C447" s="23" t="s">
        <v>897</v>
      </c>
      <c r="D447" s="24">
        <v>46183</v>
      </c>
      <c r="E447" s="25">
        <v>1</v>
      </c>
      <c r="F447" s="24">
        <v>46183</v>
      </c>
      <c r="G447" s="23"/>
      <c r="H447" s="26"/>
      <c r="I447" s="24" t="str">
        <f t="shared" si="18"/>
        <v/>
      </c>
      <c r="J447" s="26" t="e">
        <f t="shared" ca="1" si="19"/>
        <v>#VALUE!</v>
      </c>
      <c r="K447" s="26" t="str">
        <f t="shared" ca="1" si="20"/>
        <v/>
      </c>
      <c r="L447" s="27" t="s">
        <v>1567</v>
      </c>
      <c r="M447" s="26" t="str">
        <f ca="1">IF(L447&lt;&gt;"","Entregado",IF(NOT(ISNUMBER(IF(Q447&lt;&gt;"",Q447,I447))),"REVISAR TE",IF(AND(ISNUMBER(Resumen!$B$3),IF(Q447&lt;&gt;"",Q447,I447)&lt;Resumen!$B$3),"REVISAR",IF(IF(Q447&lt;&gt;"",Q447,I447)&lt;TODAY(),"ATRASADO",IF(IF(Q447&lt;&gt;"",Q447,I447)-TODAY()&lt;=2,"POR VENCER","EN TIEMPO")))))</f>
        <v>Entregado</v>
      </c>
      <c r="N447" s="23" t="s">
        <v>216</v>
      </c>
      <c r="P447" s="23" t="s">
        <v>894</v>
      </c>
      <c r="Q447" s="28"/>
    </row>
    <row r="448" spans="1:17" ht="16.5" hidden="1" x14ac:dyDescent="0.3">
      <c r="A448" s="23" t="s">
        <v>898</v>
      </c>
      <c r="B448" s="23" t="s">
        <v>53</v>
      </c>
      <c r="C448" s="23" t="s">
        <v>900</v>
      </c>
      <c r="D448" s="24">
        <v>46183</v>
      </c>
      <c r="E448" s="25">
        <v>5</v>
      </c>
      <c r="F448" s="24">
        <v>46183</v>
      </c>
      <c r="G448" s="23" t="s">
        <v>180</v>
      </c>
      <c r="H448" s="26">
        <v>14</v>
      </c>
      <c r="I448" s="24">
        <f t="shared" si="18"/>
        <v>46197</v>
      </c>
      <c r="J448" s="26">
        <f t="shared" ca="1" si="19"/>
        <v>-107</v>
      </c>
      <c r="K448" s="26" t="str">
        <f t="shared" ca="1" si="20"/>
        <v/>
      </c>
      <c r="L448" s="27" t="s">
        <v>1567</v>
      </c>
      <c r="M448" s="26" t="str">
        <f ca="1">IF(L448&lt;&gt;"","Entregado",IF(NOT(ISNUMBER(IF(Q448&lt;&gt;"",Q448,I448))),"REVISAR TE",IF(AND(ISNUMBER(Resumen!$B$3),IF(Q448&lt;&gt;"",Q448,I448)&lt;Resumen!$B$3),"REVISAR",IF(IF(Q448&lt;&gt;"",Q448,I448)&lt;TODAY(),"ATRASADO",IF(IF(Q448&lt;&gt;"",Q448,I448)-TODAY()&lt;=2,"POR VENCER","EN TIEMPO")))))</f>
        <v>Entregado</v>
      </c>
      <c r="N448" s="23" t="s">
        <v>899</v>
      </c>
      <c r="P448" s="23" t="s">
        <v>901</v>
      </c>
      <c r="Q448" s="28"/>
    </row>
    <row r="449" spans="1:17" ht="16.5" hidden="1" x14ac:dyDescent="0.3">
      <c r="A449" s="23" t="s">
        <v>898</v>
      </c>
      <c r="B449" s="23" t="s">
        <v>53</v>
      </c>
      <c r="C449" s="23" t="s">
        <v>903</v>
      </c>
      <c r="D449" s="24">
        <v>46183</v>
      </c>
      <c r="E449" s="25">
        <v>5</v>
      </c>
      <c r="F449" s="24">
        <v>46183</v>
      </c>
      <c r="G449" s="23" t="s">
        <v>180</v>
      </c>
      <c r="H449" s="26">
        <v>14</v>
      </c>
      <c r="I449" s="24">
        <f t="shared" si="18"/>
        <v>46197</v>
      </c>
      <c r="J449" s="26">
        <f t="shared" ca="1" si="19"/>
        <v>-107</v>
      </c>
      <c r="K449" s="26" t="str">
        <f t="shared" ca="1" si="20"/>
        <v/>
      </c>
      <c r="L449" s="27" t="s">
        <v>1567</v>
      </c>
      <c r="M449" s="26" t="str">
        <f ca="1">IF(L449&lt;&gt;"","Entregado",IF(NOT(ISNUMBER(IF(Q449&lt;&gt;"",Q449,I449))),"REVISAR TE",IF(AND(ISNUMBER(Resumen!$B$3),IF(Q449&lt;&gt;"",Q449,I449)&lt;Resumen!$B$3),"REVISAR",IF(IF(Q449&lt;&gt;"",Q449,I449)&lt;TODAY(),"ATRASADO",IF(IF(Q449&lt;&gt;"",Q449,I449)-TODAY()&lt;=2,"POR VENCER","EN TIEMPO")))))</f>
        <v>Entregado</v>
      </c>
      <c r="N449" s="23" t="s">
        <v>902</v>
      </c>
      <c r="P449" s="23" t="s">
        <v>901</v>
      </c>
      <c r="Q449" s="28"/>
    </row>
    <row r="450" spans="1:17" ht="16.5" hidden="1" x14ac:dyDescent="0.3">
      <c r="A450" s="23" t="s">
        <v>898</v>
      </c>
      <c r="B450" s="23" t="s">
        <v>53</v>
      </c>
      <c r="C450" s="23" t="s">
        <v>905</v>
      </c>
      <c r="D450" s="24">
        <v>46183</v>
      </c>
      <c r="E450" s="25">
        <v>5</v>
      </c>
      <c r="F450" s="24">
        <v>46183</v>
      </c>
      <c r="G450" s="23" t="s">
        <v>180</v>
      </c>
      <c r="H450" s="26">
        <v>14</v>
      </c>
      <c r="I450" s="24">
        <f t="shared" ref="I450:I513" si="21">IF(AND(D450&lt;&gt;"",H450&lt;&gt;""),D450+H450,"")</f>
        <v>46197</v>
      </c>
      <c r="J450" s="26">
        <f t="shared" ref="J450:J513" ca="1" si="22">I450-TODAY()</f>
        <v>-107</v>
      </c>
      <c r="K450" s="26" t="str">
        <f t="shared" ref="K450:K513" ca="1" si="23">IF(AND(L450="",ISNUMBER(IF(Q450&lt;&gt;"",Q450,I450))),IF(IF(Q450&lt;&gt;"",Q450,I450)&lt;TODAY(),TODAY()-IF(Q450&lt;&gt;"",Q450,I450),""),"")</f>
        <v/>
      </c>
      <c r="L450" s="27" t="s">
        <v>1567</v>
      </c>
      <c r="M450" s="26" t="str">
        <f ca="1">IF(L450&lt;&gt;"","Entregado",IF(NOT(ISNUMBER(IF(Q450&lt;&gt;"",Q450,I450))),"REVISAR TE",IF(AND(ISNUMBER(Resumen!$B$3),IF(Q450&lt;&gt;"",Q450,I450)&lt;Resumen!$B$3),"REVISAR",IF(IF(Q450&lt;&gt;"",Q450,I450)&lt;TODAY(),"ATRASADO",IF(IF(Q450&lt;&gt;"",Q450,I450)-TODAY()&lt;=2,"POR VENCER","EN TIEMPO")))))</f>
        <v>Entregado</v>
      </c>
      <c r="N450" s="23" t="s">
        <v>904</v>
      </c>
      <c r="P450" s="23" t="s">
        <v>901</v>
      </c>
      <c r="Q450" s="28"/>
    </row>
    <row r="451" spans="1:17" ht="16.5" hidden="1" x14ac:dyDescent="0.3">
      <c r="A451" s="23" t="s">
        <v>906</v>
      </c>
      <c r="B451" s="23" t="s">
        <v>57</v>
      </c>
      <c r="C451" s="23" t="s">
        <v>907</v>
      </c>
      <c r="D451" s="24">
        <v>46184</v>
      </c>
      <c r="E451" s="25">
        <v>6</v>
      </c>
      <c r="F451" s="24">
        <v>46184</v>
      </c>
      <c r="G451" s="23" t="s">
        <v>204</v>
      </c>
      <c r="H451" s="26">
        <v>42</v>
      </c>
      <c r="I451" s="24">
        <f t="shared" si="21"/>
        <v>46226</v>
      </c>
      <c r="J451" s="26">
        <f t="shared" ca="1" si="22"/>
        <v>-78</v>
      </c>
      <c r="K451" s="26" t="str">
        <f t="shared" ca="1" si="23"/>
        <v/>
      </c>
      <c r="L451" s="27" t="s">
        <v>1567</v>
      </c>
      <c r="M451" s="26" t="str">
        <f ca="1">IF(L451&lt;&gt;"","Entregado",IF(NOT(ISNUMBER(IF(Q451&lt;&gt;"",Q451,I451))),"REVISAR TE",IF(AND(ISNUMBER(Resumen!$B$3),IF(Q451&lt;&gt;"",Q451,I451)&lt;Resumen!$B$3),"REVISAR",IF(IF(Q451&lt;&gt;"",Q451,I451)&lt;TODAY(),"ATRASADO",IF(IF(Q451&lt;&gt;"",Q451,I451)-TODAY()&lt;=2,"POR VENCER","EN TIEMPO")))))</f>
        <v>Entregado</v>
      </c>
      <c r="N451" s="23" t="s">
        <v>94</v>
      </c>
      <c r="P451" s="23" t="s">
        <v>908</v>
      </c>
      <c r="Q451" s="28"/>
    </row>
    <row r="452" spans="1:17" ht="16.5" hidden="1" x14ac:dyDescent="0.3">
      <c r="A452" s="23" t="s">
        <v>906</v>
      </c>
      <c r="B452" s="23" t="s">
        <v>57</v>
      </c>
      <c r="C452" s="23" t="s">
        <v>909</v>
      </c>
      <c r="D452" s="24">
        <v>46184</v>
      </c>
      <c r="E452" s="25">
        <v>5</v>
      </c>
      <c r="F452" s="24">
        <v>46184</v>
      </c>
      <c r="G452" s="23" t="s">
        <v>204</v>
      </c>
      <c r="H452" s="26">
        <v>42</v>
      </c>
      <c r="I452" s="24">
        <f t="shared" si="21"/>
        <v>46226</v>
      </c>
      <c r="J452" s="26">
        <f t="shared" ca="1" si="22"/>
        <v>-78</v>
      </c>
      <c r="K452" s="26" t="str">
        <f t="shared" ca="1" si="23"/>
        <v/>
      </c>
      <c r="L452" s="27" t="s">
        <v>1567</v>
      </c>
      <c r="M452" s="26" t="str">
        <f ca="1">IF(L452&lt;&gt;"","Entregado",IF(NOT(ISNUMBER(IF(Q452&lt;&gt;"",Q452,I452))),"REVISAR TE",IF(AND(ISNUMBER(Resumen!$B$3),IF(Q452&lt;&gt;"",Q452,I452)&lt;Resumen!$B$3),"REVISAR",IF(IF(Q452&lt;&gt;"",Q452,I452)&lt;TODAY(),"ATRASADO",IF(IF(Q452&lt;&gt;"",Q452,I452)-TODAY()&lt;=2,"POR VENCER","EN TIEMPO")))))</f>
        <v>Entregado</v>
      </c>
      <c r="N452" s="23" t="s">
        <v>94</v>
      </c>
      <c r="P452" s="23" t="s">
        <v>908</v>
      </c>
      <c r="Q452" s="28"/>
    </row>
    <row r="453" spans="1:17" ht="16.5" hidden="1" x14ac:dyDescent="0.3">
      <c r="A453" s="23" t="s">
        <v>906</v>
      </c>
      <c r="B453" s="23" t="s">
        <v>57</v>
      </c>
      <c r="C453" s="23" t="s">
        <v>910</v>
      </c>
      <c r="D453" s="24">
        <v>46184</v>
      </c>
      <c r="E453" s="25">
        <v>80</v>
      </c>
      <c r="F453" s="24">
        <v>46184</v>
      </c>
      <c r="G453" s="23" t="s">
        <v>204</v>
      </c>
      <c r="H453" s="26">
        <v>42</v>
      </c>
      <c r="I453" s="24">
        <f t="shared" si="21"/>
        <v>46226</v>
      </c>
      <c r="J453" s="26">
        <f t="shared" ca="1" si="22"/>
        <v>-78</v>
      </c>
      <c r="K453" s="26" t="str">
        <f t="shared" ca="1" si="23"/>
        <v/>
      </c>
      <c r="L453" s="27" t="s">
        <v>1567</v>
      </c>
      <c r="M453" s="26" t="str">
        <f ca="1">IF(L453&lt;&gt;"","Entregado",IF(NOT(ISNUMBER(IF(Q453&lt;&gt;"",Q453,I453))),"REVISAR TE",IF(AND(ISNUMBER(Resumen!$B$3),IF(Q453&lt;&gt;"",Q453,I453)&lt;Resumen!$B$3),"REVISAR",IF(IF(Q453&lt;&gt;"",Q453,I453)&lt;TODAY(),"ATRASADO",IF(IF(Q453&lt;&gt;"",Q453,I453)-TODAY()&lt;=2,"POR VENCER","EN TIEMPO")))))</f>
        <v>Entregado</v>
      </c>
      <c r="N453" s="23" t="s">
        <v>94</v>
      </c>
      <c r="P453" s="23" t="s">
        <v>908</v>
      </c>
      <c r="Q453" s="28"/>
    </row>
    <row r="454" spans="1:17" ht="16.5" hidden="1" x14ac:dyDescent="0.3">
      <c r="A454" s="23" t="s">
        <v>906</v>
      </c>
      <c r="B454" s="23" t="s">
        <v>57</v>
      </c>
      <c r="C454" s="23" t="s">
        <v>911</v>
      </c>
      <c r="D454" s="24">
        <v>46184</v>
      </c>
      <c r="E454" s="25">
        <v>76</v>
      </c>
      <c r="F454" s="24">
        <v>46184</v>
      </c>
      <c r="G454" s="23" t="s">
        <v>204</v>
      </c>
      <c r="H454" s="26">
        <v>42</v>
      </c>
      <c r="I454" s="24">
        <f t="shared" si="21"/>
        <v>46226</v>
      </c>
      <c r="J454" s="26">
        <f t="shared" ca="1" si="22"/>
        <v>-78</v>
      </c>
      <c r="K454" s="26" t="str">
        <f t="shared" ca="1" si="23"/>
        <v/>
      </c>
      <c r="L454" s="27" t="s">
        <v>1567</v>
      </c>
      <c r="M454" s="26" t="str">
        <f ca="1">IF(L454&lt;&gt;"","Entregado",IF(NOT(ISNUMBER(IF(Q454&lt;&gt;"",Q454,I454))),"REVISAR TE",IF(AND(ISNUMBER(Resumen!$B$3),IF(Q454&lt;&gt;"",Q454,I454)&lt;Resumen!$B$3),"REVISAR",IF(IF(Q454&lt;&gt;"",Q454,I454)&lt;TODAY(),"ATRASADO",IF(IF(Q454&lt;&gt;"",Q454,I454)-TODAY()&lt;=2,"POR VENCER","EN TIEMPO")))))</f>
        <v>Entregado</v>
      </c>
      <c r="N454" s="23" t="s">
        <v>94</v>
      </c>
      <c r="P454" s="23" t="s">
        <v>908</v>
      </c>
      <c r="Q454" s="28"/>
    </row>
    <row r="455" spans="1:17" ht="16.5" hidden="1" x14ac:dyDescent="0.3">
      <c r="A455" s="23" t="s">
        <v>912</v>
      </c>
      <c r="B455" s="23" t="s">
        <v>56</v>
      </c>
      <c r="C455" s="23" t="s">
        <v>913</v>
      </c>
      <c r="D455" s="24">
        <v>46185</v>
      </c>
      <c r="E455" s="25">
        <v>1</v>
      </c>
      <c r="F455" s="24">
        <v>46185</v>
      </c>
      <c r="G455" s="23" t="s">
        <v>501</v>
      </c>
      <c r="H455" s="26">
        <v>4</v>
      </c>
      <c r="I455" s="24">
        <f t="shared" si="21"/>
        <v>46189</v>
      </c>
      <c r="J455" s="26">
        <f t="shared" ca="1" si="22"/>
        <v>-115</v>
      </c>
      <c r="K455" s="26" t="str">
        <f t="shared" ca="1" si="23"/>
        <v/>
      </c>
      <c r="L455" s="27" t="s">
        <v>1567</v>
      </c>
      <c r="M455" s="26" t="str">
        <f ca="1">IF(L455&lt;&gt;"","Entregado",IF(NOT(ISNUMBER(IF(Q455&lt;&gt;"",Q455,I455))),"REVISAR TE",IF(AND(ISNUMBER(Resumen!$B$3),IF(Q455&lt;&gt;"",Q455,I455)&lt;Resumen!$B$3),"REVISAR",IF(IF(Q455&lt;&gt;"",Q455,I455)&lt;TODAY(),"ATRASADO",IF(IF(Q455&lt;&gt;"",Q455,I455)-TODAY()&lt;=2,"POR VENCER","EN TIEMPO")))))</f>
        <v>Entregado</v>
      </c>
      <c r="N455" s="23" t="s">
        <v>431</v>
      </c>
      <c r="P455" s="23" t="s">
        <v>914</v>
      </c>
      <c r="Q455" s="28"/>
    </row>
    <row r="456" spans="1:17" ht="16.5" hidden="1" x14ac:dyDescent="0.3">
      <c r="A456" s="23" t="s">
        <v>915</v>
      </c>
      <c r="B456" s="23" t="s">
        <v>56</v>
      </c>
      <c r="C456" s="23" t="s">
        <v>913</v>
      </c>
      <c r="D456" s="24">
        <v>46185</v>
      </c>
      <c r="E456" s="25">
        <v>1</v>
      </c>
      <c r="F456" s="24">
        <v>46185</v>
      </c>
      <c r="G456" s="23" t="s">
        <v>501</v>
      </c>
      <c r="H456" s="26">
        <v>4</v>
      </c>
      <c r="I456" s="24">
        <f t="shared" si="21"/>
        <v>46189</v>
      </c>
      <c r="J456" s="26">
        <f t="shared" ca="1" si="22"/>
        <v>-115</v>
      </c>
      <c r="K456" s="26" t="str">
        <f t="shared" ca="1" si="23"/>
        <v/>
      </c>
      <c r="L456" s="27" t="s">
        <v>1567</v>
      </c>
      <c r="M456" s="26" t="str">
        <f ca="1">IF(L456&lt;&gt;"","Entregado",IF(NOT(ISNUMBER(IF(Q456&lt;&gt;"",Q456,I456))),"REVISAR TE",IF(AND(ISNUMBER(Resumen!$B$3),IF(Q456&lt;&gt;"",Q456,I456)&lt;Resumen!$B$3),"REVISAR",IF(IF(Q456&lt;&gt;"",Q456,I456)&lt;TODAY(),"ATRASADO",IF(IF(Q456&lt;&gt;"",Q456,I456)-TODAY()&lt;=2,"POR VENCER","EN TIEMPO")))))</f>
        <v>Entregado</v>
      </c>
      <c r="N456" s="23" t="s">
        <v>431</v>
      </c>
      <c r="P456" s="23" t="s">
        <v>916</v>
      </c>
      <c r="Q456" s="28"/>
    </row>
    <row r="457" spans="1:17" ht="16.5" hidden="1" x14ac:dyDescent="0.3">
      <c r="A457" s="23" t="s">
        <v>917</v>
      </c>
      <c r="B457" s="23" t="s">
        <v>53</v>
      </c>
      <c r="C457" s="23" t="s">
        <v>918</v>
      </c>
      <c r="D457" s="24">
        <v>46185</v>
      </c>
      <c r="E457" s="25">
        <v>5</v>
      </c>
      <c r="F457" s="24">
        <v>46185</v>
      </c>
      <c r="G457" s="23" t="s">
        <v>93</v>
      </c>
      <c r="H457" s="26">
        <v>28</v>
      </c>
      <c r="I457" s="24">
        <f t="shared" si="21"/>
        <v>46213</v>
      </c>
      <c r="J457" s="26">
        <f t="shared" ca="1" si="22"/>
        <v>-91</v>
      </c>
      <c r="K457" s="26" t="str">
        <f t="shared" ca="1" si="23"/>
        <v/>
      </c>
      <c r="L457" s="27" t="s">
        <v>1567</v>
      </c>
      <c r="M457" s="26" t="str">
        <f ca="1">IF(L457&lt;&gt;"","Entregado",IF(NOT(ISNUMBER(IF(Q457&lt;&gt;"",Q457,I457))),"REVISAR TE",IF(AND(ISNUMBER(Resumen!$B$3),IF(Q457&lt;&gt;"",Q457,I457)&lt;Resumen!$B$3),"REVISAR",IF(IF(Q457&lt;&gt;"",Q457,I457)&lt;TODAY(),"ATRASADO",IF(IF(Q457&lt;&gt;"",Q457,I457)-TODAY()&lt;=2,"POR VENCER","EN TIEMPO")))))</f>
        <v>Entregado</v>
      </c>
      <c r="N457" s="23" t="s">
        <v>899</v>
      </c>
      <c r="P457" s="23" t="s">
        <v>919</v>
      </c>
      <c r="Q457" s="28"/>
    </row>
    <row r="458" spans="1:17" ht="16.5" hidden="1" x14ac:dyDescent="0.3">
      <c r="A458" s="23" t="s">
        <v>917</v>
      </c>
      <c r="B458" s="23" t="s">
        <v>53</v>
      </c>
      <c r="C458" s="23" t="s">
        <v>921</v>
      </c>
      <c r="D458" s="24">
        <v>46185</v>
      </c>
      <c r="E458" s="25">
        <v>1</v>
      </c>
      <c r="F458" s="24">
        <v>46185</v>
      </c>
      <c r="G458" s="23" t="s">
        <v>93</v>
      </c>
      <c r="H458" s="26">
        <v>28</v>
      </c>
      <c r="I458" s="24">
        <f t="shared" si="21"/>
        <v>46213</v>
      </c>
      <c r="J458" s="26">
        <f t="shared" ca="1" si="22"/>
        <v>-91</v>
      </c>
      <c r="K458" s="26" t="str">
        <f t="shared" ca="1" si="23"/>
        <v/>
      </c>
      <c r="L458" s="27" t="s">
        <v>1567</v>
      </c>
      <c r="M458" s="26" t="str">
        <f ca="1">IF(L458&lt;&gt;"","Entregado",IF(NOT(ISNUMBER(IF(Q458&lt;&gt;"",Q458,I458))),"REVISAR TE",IF(AND(ISNUMBER(Resumen!$B$3),IF(Q458&lt;&gt;"",Q458,I458)&lt;Resumen!$B$3),"REVISAR",IF(IF(Q458&lt;&gt;"",Q458,I458)&lt;TODAY(),"ATRASADO",IF(IF(Q458&lt;&gt;"",Q458,I458)-TODAY()&lt;=2,"POR VENCER","EN TIEMPO")))))</f>
        <v>Entregado</v>
      </c>
      <c r="N458" s="23" t="s">
        <v>920</v>
      </c>
      <c r="P458" s="23" t="s">
        <v>919</v>
      </c>
      <c r="Q458" s="28"/>
    </row>
    <row r="459" spans="1:17" ht="16.5" hidden="1" x14ac:dyDescent="0.3">
      <c r="A459" s="23" t="s">
        <v>917</v>
      </c>
      <c r="B459" s="23" t="s">
        <v>53</v>
      </c>
      <c r="C459" s="23" t="s">
        <v>923</v>
      </c>
      <c r="D459" s="24">
        <v>46185</v>
      </c>
      <c r="E459" s="25">
        <v>1</v>
      </c>
      <c r="F459" s="24">
        <v>46185</v>
      </c>
      <c r="G459" s="23" t="s">
        <v>93</v>
      </c>
      <c r="H459" s="26">
        <v>28</v>
      </c>
      <c r="I459" s="24">
        <f t="shared" si="21"/>
        <v>46213</v>
      </c>
      <c r="J459" s="26">
        <f t="shared" ca="1" si="22"/>
        <v>-91</v>
      </c>
      <c r="K459" s="26" t="str">
        <f t="shared" ca="1" si="23"/>
        <v/>
      </c>
      <c r="L459" s="27" t="s">
        <v>1567</v>
      </c>
      <c r="M459" s="26" t="str">
        <f ca="1">IF(L459&lt;&gt;"","Entregado",IF(NOT(ISNUMBER(IF(Q459&lt;&gt;"",Q459,I459))),"REVISAR TE",IF(AND(ISNUMBER(Resumen!$B$3),IF(Q459&lt;&gt;"",Q459,I459)&lt;Resumen!$B$3),"REVISAR",IF(IF(Q459&lt;&gt;"",Q459,I459)&lt;TODAY(),"ATRASADO",IF(IF(Q459&lt;&gt;"",Q459,I459)-TODAY()&lt;=2,"POR VENCER","EN TIEMPO")))))</f>
        <v>Entregado</v>
      </c>
      <c r="N459" s="23" t="s">
        <v>922</v>
      </c>
      <c r="P459" s="23" t="s">
        <v>919</v>
      </c>
      <c r="Q459" s="28"/>
    </row>
    <row r="460" spans="1:17" ht="16.5" hidden="1" x14ac:dyDescent="0.3">
      <c r="A460" s="23" t="s">
        <v>917</v>
      </c>
      <c r="B460" s="23" t="s">
        <v>53</v>
      </c>
      <c r="C460" s="23" t="s">
        <v>924</v>
      </c>
      <c r="D460" s="24">
        <v>46185</v>
      </c>
      <c r="E460" s="25">
        <v>5</v>
      </c>
      <c r="F460" s="24">
        <v>46185</v>
      </c>
      <c r="G460" s="23" t="s">
        <v>93</v>
      </c>
      <c r="H460" s="26">
        <v>28</v>
      </c>
      <c r="I460" s="24">
        <f t="shared" si="21"/>
        <v>46213</v>
      </c>
      <c r="J460" s="26">
        <f t="shared" ca="1" si="22"/>
        <v>-91</v>
      </c>
      <c r="K460" s="26" t="str">
        <f t="shared" ca="1" si="23"/>
        <v/>
      </c>
      <c r="L460" s="27" t="s">
        <v>1567</v>
      </c>
      <c r="M460" s="26" t="str">
        <f ca="1">IF(L460&lt;&gt;"","Entregado",IF(NOT(ISNUMBER(IF(Q460&lt;&gt;"",Q460,I460))),"REVISAR TE",IF(AND(ISNUMBER(Resumen!$B$3),IF(Q460&lt;&gt;"",Q460,I460)&lt;Resumen!$B$3),"REVISAR",IF(IF(Q460&lt;&gt;"",Q460,I460)&lt;TODAY(),"ATRASADO",IF(IF(Q460&lt;&gt;"",Q460,I460)-TODAY()&lt;=2,"POR VENCER","EN TIEMPO")))))</f>
        <v>Entregado</v>
      </c>
      <c r="N460" s="23" t="s">
        <v>902</v>
      </c>
      <c r="P460" s="23" t="s">
        <v>919</v>
      </c>
      <c r="Q460" s="28"/>
    </row>
    <row r="461" spans="1:17" ht="16.5" hidden="1" x14ac:dyDescent="0.3">
      <c r="A461" s="23" t="s">
        <v>917</v>
      </c>
      <c r="B461" s="23" t="s">
        <v>53</v>
      </c>
      <c r="C461" s="23" t="s">
        <v>926</v>
      </c>
      <c r="D461" s="24">
        <v>46185</v>
      </c>
      <c r="E461" s="25">
        <v>1</v>
      </c>
      <c r="F461" s="24">
        <v>46185</v>
      </c>
      <c r="G461" s="23" t="s">
        <v>93</v>
      </c>
      <c r="H461" s="26">
        <v>28</v>
      </c>
      <c r="I461" s="24">
        <f t="shared" si="21"/>
        <v>46213</v>
      </c>
      <c r="J461" s="26">
        <f t="shared" ca="1" si="22"/>
        <v>-91</v>
      </c>
      <c r="K461" s="26" t="str">
        <f t="shared" ca="1" si="23"/>
        <v/>
      </c>
      <c r="L461" s="27" t="s">
        <v>1567</v>
      </c>
      <c r="M461" s="26" t="str">
        <f ca="1">IF(L461&lt;&gt;"","Entregado",IF(NOT(ISNUMBER(IF(Q461&lt;&gt;"",Q461,I461))),"REVISAR TE",IF(AND(ISNUMBER(Resumen!$B$3),IF(Q461&lt;&gt;"",Q461,I461)&lt;Resumen!$B$3),"REVISAR",IF(IF(Q461&lt;&gt;"",Q461,I461)&lt;TODAY(),"ATRASADO",IF(IF(Q461&lt;&gt;"",Q461,I461)-TODAY()&lt;=2,"POR VENCER","EN TIEMPO")))))</f>
        <v>Entregado</v>
      </c>
      <c r="N461" s="23" t="s">
        <v>925</v>
      </c>
      <c r="P461" s="23" t="s">
        <v>919</v>
      </c>
      <c r="Q461" s="28"/>
    </row>
    <row r="462" spans="1:17" ht="16.5" hidden="1" x14ac:dyDescent="0.3">
      <c r="A462" s="23" t="s">
        <v>917</v>
      </c>
      <c r="B462" s="23" t="s">
        <v>53</v>
      </c>
      <c r="C462" s="23" t="s">
        <v>928</v>
      </c>
      <c r="D462" s="24">
        <v>46185</v>
      </c>
      <c r="E462" s="25">
        <v>1</v>
      </c>
      <c r="F462" s="24">
        <v>46185</v>
      </c>
      <c r="G462" s="23" t="s">
        <v>93</v>
      </c>
      <c r="H462" s="26">
        <v>28</v>
      </c>
      <c r="I462" s="24">
        <f t="shared" si="21"/>
        <v>46213</v>
      </c>
      <c r="J462" s="26">
        <f t="shared" ca="1" si="22"/>
        <v>-91</v>
      </c>
      <c r="K462" s="26" t="str">
        <f t="shared" ca="1" si="23"/>
        <v/>
      </c>
      <c r="L462" s="27" t="s">
        <v>1567</v>
      </c>
      <c r="M462" s="26" t="str">
        <f ca="1">IF(L462&lt;&gt;"","Entregado",IF(NOT(ISNUMBER(IF(Q462&lt;&gt;"",Q462,I462))),"REVISAR TE",IF(AND(ISNUMBER(Resumen!$B$3),IF(Q462&lt;&gt;"",Q462,I462)&lt;Resumen!$B$3),"REVISAR",IF(IF(Q462&lt;&gt;"",Q462,I462)&lt;TODAY(),"ATRASADO",IF(IF(Q462&lt;&gt;"",Q462,I462)-TODAY()&lt;=2,"POR VENCER","EN TIEMPO")))))</f>
        <v>Entregado</v>
      </c>
      <c r="N462" s="23" t="s">
        <v>927</v>
      </c>
      <c r="P462" s="23" t="s">
        <v>919</v>
      </c>
      <c r="Q462" s="28"/>
    </row>
    <row r="463" spans="1:17" ht="16.5" hidden="1" x14ac:dyDescent="0.3">
      <c r="A463" s="23" t="s">
        <v>917</v>
      </c>
      <c r="B463" s="23" t="s">
        <v>53</v>
      </c>
      <c r="C463" s="23" t="s">
        <v>930</v>
      </c>
      <c r="D463" s="24">
        <v>46185</v>
      </c>
      <c r="E463" s="25">
        <v>1</v>
      </c>
      <c r="F463" s="24">
        <v>46185</v>
      </c>
      <c r="G463" s="23" t="s">
        <v>93</v>
      </c>
      <c r="H463" s="26">
        <v>28</v>
      </c>
      <c r="I463" s="24">
        <f t="shared" si="21"/>
        <v>46213</v>
      </c>
      <c r="J463" s="26">
        <f t="shared" ca="1" si="22"/>
        <v>-91</v>
      </c>
      <c r="K463" s="26" t="str">
        <f t="shared" ca="1" si="23"/>
        <v/>
      </c>
      <c r="L463" s="27" t="s">
        <v>1567</v>
      </c>
      <c r="M463" s="26" t="str">
        <f ca="1">IF(L463&lt;&gt;"","Entregado",IF(NOT(ISNUMBER(IF(Q463&lt;&gt;"",Q463,I463))),"REVISAR TE",IF(AND(ISNUMBER(Resumen!$B$3),IF(Q463&lt;&gt;"",Q463,I463)&lt;Resumen!$B$3),"REVISAR",IF(IF(Q463&lt;&gt;"",Q463,I463)&lt;TODAY(),"ATRASADO",IF(IF(Q463&lt;&gt;"",Q463,I463)-TODAY()&lt;=2,"POR VENCER","EN TIEMPO")))))</f>
        <v>Entregado</v>
      </c>
      <c r="N463" s="23" t="s">
        <v>929</v>
      </c>
      <c r="P463" s="23" t="s">
        <v>919</v>
      </c>
      <c r="Q463" s="28"/>
    </row>
    <row r="464" spans="1:17" ht="16.5" hidden="1" x14ac:dyDescent="0.3">
      <c r="A464" s="23" t="s">
        <v>931</v>
      </c>
      <c r="B464" s="23" t="s">
        <v>52</v>
      </c>
      <c r="C464" s="23" t="s">
        <v>932</v>
      </c>
      <c r="D464" s="24">
        <v>46186</v>
      </c>
      <c r="E464" s="25">
        <v>30</v>
      </c>
      <c r="F464" s="24">
        <v>46186</v>
      </c>
      <c r="G464" s="23" t="s">
        <v>156</v>
      </c>
      <c r="H464" s="26">
        <v>21</v>
      </c>
      <c r="I464" s="24">
        <f t="shared" si="21"/>
        <v>46207</v>
      </c>
      <c r="J464" s="26">
        <f t="shared" ca="1" si="22"/>
        <v>-97</v>
      </c>
      <c r="K464" s="26" t="str">
        <f t="shared" ca="1" si="23"/>
        <v/>
      </c>
      <c r="L464" s="27" t="s">
        <v>1567</v>
      </c>
      <c r="M464" s="26" t="str">
        <f ca="1">IF(L464&lt;&gt;"","Entregado",IF(NOT(ISNUMBER(IF(Q464&lt;&gt;"",Q464,I464))),"REVISAR TE",IF(AND(ISNUMBER(Resumen!$B$3),IF(Q464&lt;&gt;"",Q464,I464)&lt;Resumen!$B$3),"REVISAR",IF(IF(Q464&lt;&gt;"",Q464,I464)&lt;TODAY(),"ATRASADO",IF(IF(Q464&lt;&gt;"",Q464,I464)-TODAY()&lt;=2,"POR VENCER","EN TIEMPO")))))</f>
        <v>Entregado</v>
      </c>
      <c r="N464" s="23" t="s">
        <v>431</v>
      </c>
      <c r="P464" s="23" t="s">
        <v>933</v>
      </c>
      <c r="Q464" s="28"/>
    </row>
    <row r="465" spans="1:17" ht="16.5" hidden="1" x14ac:dyDescent="0.3">
      <c r="A465" s="23" t="s">
        <v>931</v>
      </c>
      <c r="B465" s="23" t="s">
        <v>52</v>
      </c>
      <c r="C465" s="23" t="s">
        <v>934</v>
      </c>
      <c r="D465" s="24">
        <v>46186</v>
      </c>
      <c r="E465" s="25">
        <v>30</v>
      </c>
      <c r="F465" s="24">
        <v>46186</v>
      </c>
      <c r="G465" s="23" t="s">
        <v>156</v>
      </c>
      <c r="H465" s="26">
        <v>21</v>
      </c>
      <c r="I465" s="24">
        <f t="shared" si="21"/>
        <v>46207</v>
      </c>
      <c r="J465" s="26">
        <f t="shared" ca="1" si="22"/>
        <v>-97</v>
      </c>
      <c r="K465" s="26" t="str">
        <f t="shared" ca="1" si="23"/>
        <v/>
      </c>
      <c r="L465" s="27" t="s">
        <v>1567</v>
      </c>
      <c r="M465" s="26" t="str">
        <f ca="1">IF(L465&lt;&gt;"","Entregado",IF(NOT(ISNUMBER(IF(Q465&lt;&gt;"",Q465,I465))),"REVISAR TE",IF(AND(ISNUMBER(Resumen!$B$3),IF(Q465&lt;&gt;"",Q465,I465)&lt;Resumen!$B$3),"REVISAR",IF(IF(Q465&lt;&gt;"",Q465,I465)&lt;TODAY(),"ATRASADO",IF(IF(Q465&lt;&gt;"",Q465,I465)-TODAY()&lt;=2,"POR VENCER","EN TIEMPO")))))</f>
        <v>Entregado</v>
      </c>
      <c r="N465" s="23" t="s">
        <v>431</v>
      </c>
      <c r="P465" s="23" t="s">
        <v>933</v>
      </c>
      <c r="Q465" s="28"/>
    </row>
    <row r="466" spans="1:17" ht="16.5" hidden="1" x14ac:dyDescent="0.3">
      <c r="A466" s="23" t="s">
        <v>935</v>
      </c>
      <c r="B466" s="23" t="s">
        <v>52</v>
      </c>
      <c r="C466" s="23" t="s">
        <v>936</v>
      </c>
      <c r="D466" s="24">
        <v>46186</v>
      </c>
      <c r="E466" s="25">
        <v>10</v>
      </c>
      <c r="F466" s="24">
        <v>46186</v>
      </c>
      <c r="G466" s="23" t="s">
        <v>137</v>
      </c>
      <c r="H466" s="26">
        <v>28</v>
      </c>
      <c r="I466" s="24">
        <f t="shared" si="21"/>
        <v>46214</v>
      </c>
      <c r="J466" s="26">
        <f t="shared" ca="1" si="22"/>
        <v>-90</v>
      </c>
      <c r="K466" s="26" t="str">
        <f t="shared" ca="1" si="23"/>
        <v/>
      </c>
      <c r="L466" s="27" t="s">
        <v>1567</v>
      </c>
      <c r="M466" s="26" t="str">
        <f ca="1">IF(L466&lt;&gt;"","Entregado",IF(NOT(ISNUMBER(IF(Q466&lt;&gt;"",Q466,I466))),"REVISAR TE",IF(AND(ISNUMBER(Resumen!$B$3),IF(Q466&lt;&gt;"",Q466,I466)&lt;Resumen!$B$3),"REVISAR",IF(IF(Q466&lt;&gt;"",Q466,I466)&lt;TODAY(),"ATRASADO",IF(IF(Q466&lt;&gt;"",Q466,I466)-TODAY()&lt;=2,"POR VENCER","EN TIEMPO")))))</f>
        <v>Entregado</v>
      </c>
      <c r="N466" s="23" t="s">
        <v>98</v>
      </c>
      <c r="P466" s="23" t="s">
        <v>937</v>
      </c>
      <c r="Q466" s="28"/>
    </row>
    <row r="467" spans="1:17" ht="16.5" hidden="1" x14ac:dyDescent="0.3">
      <c r="A467" s="23" t="s">
        <v>935</v>
      </c>
      <c r="B467" s="23" t="s">
        <v>52</v>
      </c>
      <c r="C467" s="23" t="s">
        <v>939</v>
      </c>
      <c r="D467" s="24">
        <v>46186</v>
      </c>
      <c r="E467" s="25">
        <v>5303835</v>
      </c>
      <c r="F467" s="24">
        <v>46186</v>
      </c>
      <c r="G467" s="23" t="s">
        <v>137</v>
      </c>
      <c r="H467" s="26">
        <v>28</v>
      </c>
      <c r="I467" s="24">
        <f t="shared" si="21"/>
        <v>46214</v>
      </c>
      <c r="J467" s="26">
        <f t="shared" ca="1" si="22"/>
        <v>-90</v>
      </c>
      <c r="K467" s="26" t="str">
        <f t="shared" ca="1" si="23"/>
        <v/>
      </c>
      <c r="L467" s="27" t="s">
        <v>1567</v>
      </c>
      <c r="M467" s="26" t="str">
        <f ca="1">IF(L467&lt;&gt;"","Entregado",IF(NOT(ISNUMBER(IF(Q467&lt;&gt;"",Q467,I467))),"REVISAR TE",IF(AND(ISNUMBER(Resumen!$B$3),IF(Q467&lt;&gt;"",Q467,I467)&lt;Resumen!$B$3),"REVISAR",IF(IF(Q467&lt;&gt;"",Q467,I467)&lt;TODAY(),"ATRASADO",IF(IF(Q467&lt;&gt;"",Q467,I467)-TODAY()&lt;=2,"POR VENCER","EN TIEMPO")))))</f>
        <v>Entregado</v>
      </c>
      <c r="N467" s="23" t="s">
        <v>938</v>
      </c>
      <c r="P467" s="23" t="s">
        <v>937</v>
      </c>
      <c r="Q467" s="28"/>
    </row>
    <row r="468" spans="1:17" ht="16.5" hidden="1" x14ac:dyDescent="0.3">
      <c r="A468" s="23" t="s">
        <v>935</v>
      </c>
      <c r="B468" s="23" t="s">
        <v>52</v>
      </c>
      <c r="C468" s="23" t="s">
        <v>936</v>
      </c>
      <c r="D468" s="24">
        <v>46186</v>
      </c>
      <c r="E468" s="25">
        <v>5</v>
      </c>
      <c r="F468" s="24">
        <v>46186</v>
      </c>
      <c r="G468" s="23" t="s">
        <v>137</v>
      </c>
      <c r="H468" s="26">
        <v>28</v>
      </c>
      <c r="I468" s="24">
        <f t="shared" si="21"/>
        <v>46214</v>
      </c>
      <c r="J468" s="26">
        <f t="shared" ca="1" si="22"/>
        <v>-90</v>
      </c>
      <c r="K468" s="26" t="str">
        <f t="shared" ca="1" si="23"/>
        <v/>
      </c>
      <c r="L468" s="27" t="s">
        <v>1567</v>
      </c>
      <c r="M468" s="26" t="str">
        <f ca="1">IF(L468&lt;&gt;"","Entregado",IF(NOT(ISNUMBER(IF(Q468&lt;&gt;"",Q468,I468))),"REVISAR TE",IF(AND(ISNUMBER(Resumen!$B$3),IF(Q468&lt;&gt;"",Q468,I468)&lt;Resumen!$B$3),"REVISAR",IF(IF(Q468&lt;&gt;"",Q468,I468)&lt;TODAY(),"ATRASADO",IF(IF(Q468&lt;&gt;"",Q468,I468)-TODAY()&lt;=2,"POR VENCER","EN TIEMPO")))))</f>
        <v>Entregado</v>
      </c>
      <c r="N468" s="23" t="s">
        <v>98</v>
      </c>
      <c r="P468" s="23" t="s">
        <v>937</v>
      </c>
      <c r="Q468" s="28"/>
    </row>
    <row r="469" spans="1:17" ht="16.5" hidden="1" x14ac:dyDescent="0.3">
      <c r="A469" s="23" t="s">
        <v>935</v>
      </c>
      <c r="B469" s="23" t="s">
        <v>52</v>
      </c>
      <c r="C469" s="23" t="s">
        <v>939</v>
      </c>
      <c r="D469" s="24">
        <v>46186</v>
      </c>
      <c r="E469" s="25">
        <v>5303837</v>
      </c>
      <c r="F469" s="24">
        <v>46186</v>
      </c>
      <c r="G469" s="23" t="s">
        <v>137</v>
      </c>
      <c r="H469" s="26">
        <v>28</v>
      </c>
      <c r="I469" s="24">
        <f t="shared" si="21"/>
        <v>46214</v>
      </c>
      <c r="J469" s="26">
        <f t="shared" ca="1" si="22"/>
        <v>-90</v>
      </c>
      <c r="K469" s="26" t="str">
        <f t="shared" ca="1" si="23"/>
        <v/>
      </c>
      <c r="L469" s="27" t="s">
        <v>1567</v>
      </c>
      <c r="M469" s="26" t="str">
        <f ca="1">IF(L469&lt;&gt;"","Entregado",IF(NOT(ISNUMBER(IF(Q469&lt;&gt;"",Q469,I469))),"REVISAR TE",IF(AND(ISNUMBER(Resumen!$B$3),IF(Q469&lt;&gt;"",Q469,I469)&lt;Resumen!$B$3),"REVISAR",IF(IF(Q469&lt;&gt;"",Q469,I469)&lt;TODAY(),"ATRASADO",IF(IF(Q469&lt;&gt;"",Q469,I469)-TODAY()&lt;=2,"POR VENCER","EN TIEMPO")))))</f>
        <v>Entregado</v>
      </c>
      <c r="N469" s="23" t="s">
        <v>938</v>
      </c>
      <c r="P469" s="23" t="s">
        <v>937</v>
      </c>
      <c r="Q469" s="28"/>
    </row>
    <row r="470" spans="1:17" ht="16.5" hidden="1" x14ac:dyDescent="0.3">
      <c r="A470" s="23" t="s">
        <v>935</v>
      </c>
      <c r="B470" s="23" t="s">
        <v>52</v>
      </c>
      <c r="C470" s="23" t="s">
        <v>936</v>
      </c>
      <c r="D470" s="24">
        <v>46186</v>
      </c>
      <c r="E470" s="25">
        <v>5</v>
      </c>
      <c r="F470" s="24">
        <v>46186</v>
      </c>
      <c r="G470" s="23" t="s">
        <v>137</v>
      </c>
      <c r="H470" s="26">
        <v>28</v>
      </c>
      <c r="I470" s="24">
        <f t="shared" si="21"/>
        <v>46214</v>
      </c>
      <c r="J470" s="26">
        <f t="shared" ca="1" si="22"/>
        <v>-90</v>
      </c>
      <c r="K470" s="26" t="str">
        <f t="shared" ca="1" si="23"/>
        <v/>
      </c>
      <c r="L470" s="27" t="s">
        <v>1567</v>
      </c>
      <c r="M470" s="26" t="str">
        <f ca="1">IF(L470&lt;&gt;"","Entregado",IF(NOT(ISNUMBER(IF(Q470&lt;&gt;"",Q470,I470))),"REVISAR TE",IF(AND(ISNUMBER(Resumen!$B$3),IF(Q470&lt;&gt;"",Q470,I470)&lt;Resumen!$B$3),"REVISAR",IF(IF(Q470&lt;&gt;"",Q470,I470)&lt;TODAY(),"ATRASADO",IF(IF(Q470&lt;&gt;"",Q470,I470)-TODAY()&lt;=2,"POR VENCER","EN TIEMPO")))))</f>
        <v>Entregado</v>
      </c>
      <c r="N470" s="23" t="s">
        <v>98</v>
      </c>
      <c r="P470" s="23" t="s">
        <v>937</v>
      </c>
      <c r="Q470" s="28"/>
    </row>
    <row r="471" spans="1:17" ht="16.5" hidden="1" x14ac:dyDescent="0.3">
      <c r="A471" s="23" t="s">
        <v>935</v>
      </c>
      <c r="B471" s="23" t="s">
        <v>52</v>
      </c>
      <c r="C471" s="23" t="s">
        <v>939</v>
      </c>
      <c r="D471" s="24">
        <v>46186</v>
      </c>
      <c r="E471" s="25">
        <v>52041768</v>
      </c>
      <c r="F471" s="24">
        <v>46186</v>
      </c>
      <c r="G471" s="23" t="s">
        <v>137</v>
      </c>
      <c r="H471" s="26">
        <v>28</v>
      </c>
      <c r="I471" s="24">
        <f t="shared" si="21"/>
        <v>46214</v>
      </c>
      <c r="J471" s="26">
        <f t="shared" ca="1" si="22"/>
        <v>-90</v>
      </c>
      <c r="K471" s="26" t="str">
        <f t="shared" ca="1" si="23"/>
        <v/>
      </c>
      <c r="L471" s="27" t="s">
        <v>1567</v>
      </c>
      <c r="M471" s="26" t="str">
        <f ca="1">IF(L471&lt;&gt;"","Entregado",IF(NOT(ISNUMBER(IF(Q471&lt;&gt;"",Q471,I471))),"REVISAR TE",IF(AND(ISNUMBER(Resumen!$B$3),IF(Q471&lt;&gt;"",Q471,I471)&lt;Resumen!$B$3),"REVISAR",IF(IF(Q471&lt;&gt;"",Q471,I471)&lt;TODAY(),"ATRASADO",IF(IF(Q471&lt;&gt;"",Q471,I471)-TODAY()&lt;=2,"POR VENCER","EN TIEMPO")))))</f>
        <v>Entregado</v>
      </c>
      <c r="N471" s="23" t="s">
        <v>938</v>
      </c>
      <c r="P471" s="23" t="s">
        <v>937</v>
      </c>
      <c r="Q471" s="28"/>
    </row>
    <row r="472" spans="1:17" ht="16.5" hidden="1" x14ac:dyDescent="0.3">
      <c r="A472" s="23" t="s">
        <v>935</v>
      </c>
      <c r="B472" s="23" t="s">
        <v>52</v>
      </c>
      <c r="C472" s="23" t="s">
        <v>941</v>
      </c>
      <c r="D472" s="24">
        <v>46186</v>
      </c>
      <c r="E472" s="25">
        <v>1</v>
      </c>
      <c r="F472" s="24">
        <v>46186</v>
      </c>
      <c r="G472" s="23" t="s">
        <v>137</v>
      </c>
      <c r="H472" s="26">
        <v>28</v>
      </c>
      <c r="I472" s="24">
        <f t="shared" si="21"/>
        <v>46214</v>
      </c>
      <c r="J472" s="26">
        <f t="shared" ca="1" si="22"/>
        <v>-90</v>
      </c>
      <c r="K472" s="26" t="str">
        <f t="shared" ca="1" si="23"/>
        <v/>
      </c>
      <c r="L472" s="27" t="s">
        <v>1567</v>
      </c>
      <c r="M472" s="26" t="str">
        <f ca="1">IF(L472&lt;&gt;"","Entregado",IF(NOT(ISNUMBER(IF(Q472&lt;&gt;"",Q472,I472))),"REVISAR TE",IF(AND(ISNUMBER(Resumen!$B$3),IF(Q472&lt;&gt;"",Q472,I472)&lt;Resumen!$B$3),"REVISAR",IF(IF(Q472&lt;&gt;"",Q472,I472)&lt;TODAY(),"ATRASADO",IF(IF(Q472&lt;&gt;"",Q472,I472)-TODAY()&lt;=2,"POR VENCER","EN TIEMPO")))))</f>
        <v>Entregado</v>
      </c>
      <c r="N472" s="23" t="s">
        <v>940</v>
      </c>
      <c r="P472" s="23" t="s">
        <v>937</v>
      </c>
      <c r="Q472" s="28"/>
    </row>
    <row r="473" spans="1:17" ht="16.5" hidden="1" x14ac:dyDescent="0.3">
      <c r="A473" s="23" t="s">
        <v>942</v>
      </c>
      <c r="B473" s="23" t="s">
        <v>52</v>
      </c>
      <c r="C473" s="23" t="s">
        <v>943</v>
      </c>
      <c r="D473" s="24">
        <v>46188</v>
      </c>
      <c r="E473" s="25">
        <v>1</v>
      </c>
      <c r="F473" s="24">
        <v>46188</v>
      </c>
      <c r="G473" s="23" t="s">
        <v>171</v>
      </c>
      <c r="H473" s="26">
        <v>7</v>
      </c>
      <c r="I473" s="24">
        <f t="shared" si="21"/>
        <v>46195</v>
      </c>
      <c r="J473" s="26">
        <f t="shared" ca="1" si="22"/>
        <v>-109</v>
      </c>
      <c r="K473" s="26" t="str">
        <f t="shared" ca="1" si="23"/>
        <v/>
      </c>
      <c r="L473" s="27" t="s">
        <v>1567</v>
      </c>
      <c r="M473" s="26" t="str">
        <f ca="1">IF(L473&lt;&gt;"","Entregado",IF(NOT(ISNUMBER(IF(Q473&lt;&gt;"",Q473,I473))),"REVISAR TE",IF(AND(ISNUMBER(Resumen!$B$3),IF(Q473&lt;&gt;"",Q473,I473)&lt;Resumen!$B$3),"REVISAR",IF(IF(Q473&lt;&gt;"",Q473,I473)&lt;TODAY(),"ATRASADO",IF(IF(Q473&lt;&gt;"",Q473,I473)-TODAY()&lt;=2,"POR VENCER","EN TIEMPO")))))</f>
        <v>Entregado</v>
      </c>
      <c r="N473" s="23" t="s">
        <v>94</v>
      </c>
      <c r="P473" s="23" t="s">
        <v>944</v>
      </c>
      <c r="Q473" s="28"/>
    </row>
    <row r="474" spans="1:17" ht="16.5" hidden="1" x14ac:dyDescent="0.3">
      <c r="A474" s="23" t="s">
        <v>945</v>
      </c>
      <c r="B474" s="23" t="s">
        <v>52</v>
      </c>
      <c r="C474" s="23" t="s">
        <v>947</v>
      </c>
      <c r="D474" s="24">
        <v>46189</v>
      </c>
      <c r="E474" s="25">
        <v>3</v>
      </c>
      <c r="F474" s="24">
        <v>46189</v>
      </c>
      <c r="G474" s="23" t="s">
        <v>946</v>
      </c>
      <c r="H474" s="26">
        <v>3</v>
      </c>
      <c r="I474" s="24">
        <f t="shared" si="21"/>
        <v>46192</v>
      </c>
      <c r="J474" s="26">
        <f t="shared" ca="1" si="22"/>
        <v>-112</v>
      </c>
      <c r="K474" s="26" t="str">
        <f t="shared" ca="1" si="23"/>
        <v/>
      </c>
      <c r="L474" s="27" t="s">
        <v>1567</v>
      </c>
      <c r="M474" s="26" t="str">
        <f ca="1">IF(L474&lt;&gt;"","Entregado",IF(NOT(ISNUMBER(IF(Q474&lt;&gt;"",Q474,I474))),"REVISAR TE",IF(AND(ISNUMBER(Resumen!$B$3),IF(Q474&lt;&gt;"",Q474,I474)&lt;Resumen!$B$3),"REVISAR",IF(IF(Q474&lt;&gt;"",Q474,I474)&lt;TODAY(),"ATRASADO",IF(IF(Q474&lt;&gt;"",Q474,I474)-TODAY()&lt;=2,"POR VENCER","EN TIEMPO")))))</f>
        <v>Entregado</v>
      </c>
      <c r="N474" s="23" t="s">
        <v>511</v>
      </c>
      <c r="P474" s="23" t="s">
        <v>948</v>
      </c>
      <c r="Q474" s="28"/>
    </row>
    <row r="475" spans="1:17" ht="16.5" hidden="1" x14ac:dyDescent="0.3">
      <c r="A475" s="23" t="s">
        <v>945</v>
      </c>
      <c r="B475" s="23" t="s">
        <v>52</v>
      </c>
      <c r="C475" s="23" t="s">
        <v>949</v>
      </c>
      <c r="D475" s="24">
        <v>46189</v>
      </c>
      <c r="E475" s="25">
        <v>6</v>
      </c>
      <c r="F475" s="24">
        <v>46189</v>
      </c>
      <c r="G475" s="23" t="s">
        <v>946</v>
      </c>
      <c r="H475" s="26">
        <v>3</v>
      </c>
      <c r="I475" s="24">
        <f t="shared" si="21"/>
        <v>46192</v>
      </c>
      <c r="J475" s="26">
        <f t="shared" ca="1" si="22"/>
        <v>-112</v>
      </c>
      <c r="K475" s="26" t="str">
        <f t="shared" ca="1" si="23"/>
        <v/>
      </c>
      <c r="L475" s="27" t="s">
        <v>1567</v>
      </c>
      <c r="M475" s="26" t="str">
        <f ca="1">IF(L475&lt;&gt;"","Entregado",IF(NOT(ISNUMBER(IF(Q475&lt;&gt;"",Q475,I475))),"REVISAR TE",IF(AND(ISNUMBER(Resumen!$B$3),IF(Q475&lt;&gt;"",Q475,I475)&lt;Resumen!$B$3),"REVISAR",IF(IF(Q475&lt;&gt;"",Q475,I475)&lt;TODAY(),"ATRASADO",IF(IF(Q475&lt;&gt;"",Q475,I475)-TODAY()&lt;=2,"POR VENCER","EN TIEMPO")))))</f>
        <v>Entregado</v>
      </c>
      <c r="N475" s="23" t="s">
        <v>511</v>
      </c>
      <c r="P475" s="23" t="s">
        <v>948</v>
      </c>
      <c r="Q475" s="28"/>
    </row>
    <row r="476" spans="1:17" ht="16.5" hidden="1" x14ac:dyDescent="0.3">
      <c r="A476" s="23" t="s">
        <v>950</v>
      </c>
      <c r="B476" s="23" t="s">
        <v>52</v>
      </c>
      <c r="C476" s="23" t="s">
        <v>951</v>
      </c>
      <c r="D476" s="24">
        <v>46191</v>
      </c>
      <c r="E476" s="25">
        <v>3</v>
      </c>
      <c r="F476" s="24">
        <v>46191</v>
      </c>
      <c r="G476" s="23" t="s">
        <v>180</v>
      </c>
      <c r="H476" s="26">
        <v>14</v>
      </c>
      <c r="I476" s="24">
        <f t="shared" si="21"/>
        <v>46205</v>
      </c>
      <c r="J476" s="26">
        <f t="shared" ca="1" si="22"/>
        <v>-99</v>
      </c>
      <c r="K476" s="26" t="str">
        <f t="shared" ca="1" si="23"/>
        <v/>
      </c>
      <c r="L476" s="27" t="s">
        <v>1567</v>
      </c>
      <c r="M476" s="26" t="str">
        <f ca="1">IF(L476&lt;&gt;"","Entregado",IF(NOT(ISNUMBER(IF(Q476&lt;&gt;"",Q476,I476))),"REVISAR TE",IF(AND(ISNUMBER(Resumen!$B$3),IF(Q476&lt;&gt;"",Q476,I476)&lt;Resumen!$B$3),"REVISAR",IF(IF(Q476&lt;&gt;"",Q476,I476)&lt;TODAY(),"ATRASADO",IF(IF(Q476&lt;&gt;"",Q476,I476)-TODAY()&lt;=2,"POR VENCER","EN TIEMPO")))))</f>
        <v>Entregado</v>
      </c>
      <c r="N476" s="23" t="s">
        <v>94</v>
      </c>
      <c r="P476" s="23" t="s">
        <v>952</v>
      </c>
      <c r="Q476" s="28"/>
    </row>
    <row r="477" spans="1:17" ht="16.5" hidden="1" x14ac:dyDescent="0.3">
      <c r="A477" s="23" t="s">
        <v>950</v>
      </c>
      <c r="B477" s="23" t="s">
        <v>52</v>
      </c>
      <c r="C477" s="23" t="s">
        <v>175</v>
      </c>
      <c r="D477" s="24">
        <v>46191</v>
      </c>
      <c r="E477" s="25">
        <v>1</v>
      </c>
      <c r="F477" s="24">
        <v>46191</v>
      </c>
      <c r="G477" s="23" t="s">
        <v>180</v>
      </c>
      <c r="H477" s="26">
        <v>14</v>
      </c>
      <c r="I477" s="24">
        <f t="shared" si="21"/>
        <v>46205</v>
      </c>
      <c r="J477" s="26">
        <f t="shared" ca="1" si="22"/>
        <v>-99</v>
      </c>
      <c r="K477" s="26" t="str">
        <f t="shared" ca="1" si="23"/>
        <v/>
      </c>
      <c r="L477" s="27" t="s">
        <v>1567</v>
      </c>
      <c r="M477" s="26" t="str">
        <f ca="1">IF(L477&lt;&gt;"","Entregado",IF(NOT(ISNUMBER(IF(Q477&lt;&gt;"",Q477,I477))),"REVISAR TE",IF(AND(ISNUMBER(Resumen!$B$3),IF(Q477&lt;&gt;"",Q477,I477)&lt;Resumen!$B$3),"REVISAR",IF(IF(Q477&lt;&gt;"",Q477,I477)&lt;TODAY(),"ATRASADO",IF(IF(Q477&lt;&gt;"",Q477,I477)-TODAY()&lt;=2,"POR VENCER","EN TIEMPO")))))</f>
        <v>Entregado</v>
      </c>
      <c r="N477" s="23" t="s">
        <v>174</v>
      </c>
      <c r="P477" s="23" t="s">
        <v>952</v>
      </c>
      <c r="Q477" s="28"/>
    </row>
    <row r="478" spans="1:17" ht="16.5" hidden="1" x14ac:dyDescent="0.3">
      <c r="A478" s="23" t="s">
        <v>953</v>
      </c>
      <c r="B478" s="23" t="s">
        <v>52</v>
      </c>
      <c r="C478" s="23" t="s">
        <v>954</v>
      </c>
      <c r="D478" s="24">
        <v>46191</v>
      </c>
      <c r="E478" s="25">
        <v>1</v>
      </c>
      <c r="F478" s="24">
        <v>46191</v>
      </c>
      <c r="G478" s="23" t="s">
        <v>180</v>
      </c>
      <c r="H478" s="26">
        <v>14</v>
      </c>
      <c r="I478" s="24">
        <f t="shared" si="21"/>
        <v>46205</v>
      </c>
      <c r="J478" s="26">
        <f t="shared" ca="1" si="22"/>
        <v>-99</v>
      </c>
      <c r="K478" s="26" t="str">
        <f t="shared" ca="1" si="23"/>
        <v/>
      </c>
      <c r="L478" s="27" t="s">
        <v>1567</v>
      </c>
      <c r="M478" s="26" t="str">
        <f ca="1">IF(L478&lt;&gt;"","Entregado",IF(NOT(ISNUMBER(IF(Q478&lt;&gt;"",Q478,I478))),"REVISAR TE",IF(AND(ISNUMBER(Resumen!$B$3),IF(Q478&lt;&gt;"",Q478,I478)&lt;Resumen!$B$3),"REVISAR",IF(IF(Q478&lt;&gt;"",Q478,I478)&lt;TODAY(),"ATRASADO",IF(IF(Q478&lt;&gt;"",Q478,I478)-TODAY()&lt;=2,"POR VENCER","EN TIEMPO")))))</f>
        <v>Entregado</v>
      </c>
      <c r="N478" s="23" t="s">
        <v>672</v>
      </c>
      <c r="P478" s="23" t="s">
        <v>955</v>
      </c>
      <c r="Q478" s="28"/>
    </row>
    <row r="479" spans="1:17" ht="16.5" hidden="1" x14ac:dyDescent="0.3">
      <c r="A479" s="23" t="s">
        <v>956</v>
      </c>
      <c r="B479" s="23" t="s">
        <v>52</v>
      </c>
      <c r="C479" s="23" t="s">
        <v>957</v>
      </c>
      <c r="D479" s="24">
        <v>46192</v>
      </c>
      <c r="E479" s="25">
        <v>1</v>
      </c>
      <c r="F479" s="24">
        <v>46192</v>
      </c>
      <c r="G479" s="23" t="s">
        <v>180</v>
      </c>
      <c r="H479" s="26">
        <v>14</v>
      </c>
      <c r="I479" s="24">
        <f t="shared" si="21"/>
        <v>46206</v>
      </c>
      <c r="J479" s="26">
        <f t="shared" ca="1" si="22"/>
        <v>-98</v>
      </c>
      <c r="K479" s="26" t="str">
        <f t="shared" ca="1" si="23"/>
        <v/>
      </c>
      <c r="L479" s="27" t="s">
        <v>1567</v>
      </c>
      <c r="M479" s="26" t="str">
        <f ca="1">IF(L479&lt;&gt;"","Entregado",IF(NOT(ISNUMBER(IF(Q479&lt;&gt;"",Q479,I479))),"REVISAR TE",IF(AND(ISNUMBER(Resumen!$B$3),IF(Q479&lt;&gt;"",Q479,I479)&lt;Resumen!$B$3),"REVISAR",IF(IF(Q479&lt;&gt;"",Q479,I479)&lt;TODAY(),"ATRASADO",IF(IF(Q479&lt;&gt;"",Q479,I479)-TODAY()&lt;=2,"POR VENCER","EN TIEMPO")))))</f>
        <v>Entregado</v>
      </c>
      <c r="N479" s="23" t="s">
        <v>388</v>
      </c>
      <c r="P479" s="23" t="s">
        <v>958</v>
      </c>
      <c r="Q479" s="28"/>
    </row>
    <row r="480" spans="1:17" ht="16.5" hidden="1" x14ac:dyDescent="0.3">
      <c r="A480" s="23" t="s">
        <v>956</v>
      </c>
      <c r="B480" s="23" t="s">
        <v>52</v>
      </c>
      <c r="C480" s="23" t="s">
        <v>959</v>
      </c>
      <c r="D480" s="24">
        <v>46192</v>
      </c>
      <c r="E480" s="25">
        <v>1</v>
      </c>
      <c r="F480" s="24">
        <v>46192</v>
      </c>
      <c r="G480" s="23" t="s">
        <v>180</v>
      </c>
      <c r="H480" s="26">
        <v>14</v>
      </c>
      <c r="I480" s="24">
        <f t="shared" si="21"/>
        <v>46206</v>
      </c>
      <c r="J480" s="26">
        <f t="shared" ca="1" si="22"/>
        <v>-98</v>
      </c>
      <c r="K480" s="26" t="str">
        <f t="shared" ca="1" si="23"/>
        <v/>
      </c>
      <c r="L480" s="27" t="s">
        <v>1567</v>
      </c>
      <c r="M480" s="26" t="str">
        <f ca="1">IF(L480&lt;&gt;"","Entregado",IF(NOT(ISNUMBER(IF(Q480&lt;&gt;"",Q480,I480))),"REVISAR TE",IF(AND(ISNUMBER(Resumen!$B$3),IF(Q480&lt;&gt;"",Q480,I480)&lt;Resumen!$B$3),"REVISAR",IF(IF(Q480&lt;&gt;"",Q480,I480)&lt;TODAY(),"ATRASADO",IF(IF(Q480&lt;&gt;"",Q480,I480)-TODAY()&lt;=2,"POR VENCER","EN TIEMPO")))))</f>
        <v>Entregado</v>
      </c>
      <c r="N480" s="23" t="s">
        <v>388</v>
      </c>
      <c r="P480" s="23" t="s">
        <v>958</v>
      </c>
      <c r="Q480" s="28"/>
    </row>
    <row r="481" spans="1:17" ht="16.5" hidden="1" x14ac:dyDescent="0.3">
      <c r="A481" s="23" t="s">
        <v>956</v>
      </c>
      <c r="B481" s="23" t="s">
        <v>52</v>
      </c>
      <c r="C481" s="23" t="s">
        <v>960</v>
      </c>
      <c r="D481" s="24">
        <v>46192</v>
      </c>
      <c r="E481" s="25">
        <v>2</v>
      </c>
      <c r="F481" s="24">
        <v>46192</v>
      </c>
      <c r="G481" s="23" t="s">
        <v>180</v>
      </c>
      <c r="H481" s="26">
        <v>14</v>
      </c>
      <c r="I481" s="24">
        <f t="shared" si="21"/>
        <v>46206</v>
      </c>
      <c r="J481" s="26">
        <f t="shared" ca="1" si="22"/>
        <v>-98</v>
      </c>
      <c r="K481" s="26" t="str">
        <f t="shared" ca="1" si="23"/>
        <v/>
      </c>
      <c r="L481" s="27" t="s">
        <v>1567</v>
      </c>
      <c r="M481" s="26" t="str">
        <f ca="1">IF(L481&lt;&gt;"","Entregado",IF(NOT(ISNUMBER(IF(Q481&lt;&gt;"",Q481,I481))),"REVISAR TE",IF(AND(ISNUMBER(Resumen!$B$3),IF(Q481&lt;&gt;"",Q481,I481)&lt;Resumen!$B$3),"REVISAR",IF(IF(Q481&lt;&gt;"",Q481,I481)&lt;TODAY(),"ATRASADO",IF(IF(Q481&lt;&gt;"",Q481,I481)-TODAY()&lt;=2,"POR VENCER","EN TIEMPO")))))</f>
        <v>Entregado</v>
      </c>
      <c r="N481" s="23" t="s">
        <v>388</v>
      </c>
      <c r="P481" s="23" t="s">
        <v>958</v>
      </c>
      <c r="Q481" s="28"/>
    </row>
    <row r="482" spans="1:17" ht="16.5" hidden="1" x14ac:dyDescent="0.3">
      <c r="A482" s="23" t="s">
        <v>956</v>
      </c>
      <c r="B482" s="23" t="s">
        <v>52</v>
      </c>
      <c r="C482" s="23" t="s">
        <v>961</v>
      </c>
      <c r="D482" s="24">
        <v>46192</v>
      </c>
      <c r="E482" s="25">
        <v>2</v>
      </c>
      <c r="F482" s="24">
        <v>46192</v>
      </c>
      <c r="G482" s="23" t="s">
        <v>180</v>
      </c>
      <c r="H482" s="26">
        <v>14</v>
      </c>
      <c r="I482" s="24">
        <f t="shared" si="21"/>
        <v>46206</v>
      </c>
      <c r="J482" s="26">
        <f t="shared" ca="1" si="22"/>
        <v>-98</v>
      </c>
      <c r="K482" s="26" t="str">
        <f t="shared" ca="1" si="23"/>
        <v/>
      </c>
      <c r="L482" s="27" t="s">
        <v>1567</v>
      </c>
      <c r="M482" s="26" t="str">
        <f ca="1">IF(L482&lt;&gt;"","Entregado",IF(NOT(ISNUMBER(IF(Q482&lt;&gt;"",Q482,I482))),"REVISAR TE",IF(AND(ISNUMBER(Resumen!$B$3),IF(Q482&lt;&gt;"",Q482,I482)&lt;Resumen!$B$3),"REVISAR",IF(IF(Q482&lt;&gt;"",Q482,I482)&lt;TODAY(),"ATRASADO",IF(IF(Q482&lt;&gt;"",Q482,I482)-TODAY()&lt;=2,"POR VENCER","EN TIEMPO")))))</f>
        <v>Entregado</v>
      </c>
      <c r="N482" s="23" t="s">
        <v>388</v>
      </c>
      <c r="P482" s="23" t="s">
        <v>958</v>
      </c>
      <c r="Q482" s="28"/>
    </row>
    <row r="483" spans="1:17" ht="16.5" hidden="1" x14ac:dyDescent="0.3">
      <c r="A483" s="23" t="s">
        <v>956</v>
      </c>
      <c r="B483" s="23" t="s">
        <v>52</v>
      </c>
      <c r="C483" s="23" t="s">
        <v>962</v>
      </c>
      <c r="D483" s="24">
        <v>46192</v>
      </c>
      <c r="E483" s="25">
        <v>2</v>
      </c>
      <c r="F483" s="24">
        <v>46192</v>
      </c>
      <c r="G483" s="23" t="s">
        <v>180</v>
      </c>
      <c r="H483" s="26">
        <v>14</v>
      </c>
      <c r="I483" s="24">
        <f t="shared" si="21"/>
        <v>46206</v>
      </c>
      <c r="J483" s="26">
        <f t="shared" ca="1" si="22"/>
        <v>-98</v>
      </c>
      <c r="K483" s="26" t="str">
        <f t="shared" ca="1" si="23"/>
        <v/>
      </c>
      <c r="L483" s="27" t="s">
        <v>1567</v>
      </c>
      <c r="M483" s="26" t="str">
        <f ca="1">IF(L483&lt;&gt;"","Entregado",IF(NOT(ISNUMBER(IF(Q483&lt;&gt;"",Q483,I483))),"REVISAR TE",IF(AND(ISNUMBER(Resumen!$B$3),IF(Q483&lt;&gt;"",Q483,I483)&lt;Resumen!$B$3),"REVISAR",IF(IF(Q483&lt;&gt;"",Q483,I483)&lt;TODAY(),"ATRASADO",IF(IF(Q483&lt;&gt;"",Q483,I483)-TODAY()&lt;=2,"POR VENCER","EN TIEMPO")))))</f>
        <v>Entregado</v>
      </c>
      <c r="N483" s="23" t="s">
        <v>388</v>
      </c>
      <c r="P483" s="23" t="s">
        <v>958</v>
      </c>
      <c r="Q483" s="28"/>
    </row>
    <row r="484" spans="1:17" ht="16.5" hidden="1" x14ac:dyDescent="0.3">
      <c r="A484" s="23" t="s">
        <v>956</v>
      </c>
      <c r="B484" s="23" t="s">
        <v>52</v>
      </c>
      <c r="C484" s="23" t="s">
        <v>963</v>
      </c>
      <c r="D484" s="24">
        <v>46192</v>
      </c>
      <c r="E484" s="25">
        <v>3</v>
      </c>
      <c r="F484" s="24">
        <v>46192</v>
      </c>
      <c r="G484" s="23" t="s">
        <v>180</v>
      </c>
      <c r="H484" s="26">
        <v>14</v>
      </c>
      <c r="I484" s="24">
        <f t="shared" si="21"/>
        <v>46206</v>
      </c>
      <c r="J484" s="26">
        <f t="shared" ca="1" si="22"/>
        <v>-98</v>
      </c>
      <c r="K484" s="26" t="str">
        <f t="shared" ca="1" si="23"/>
        <v/>
      </c>
      <c r="L484" s="27" t="s">
        <v>1567</v>
      </c>
      <c r="M484" s="26" t="str">
        <f ca="1">IF(L484&lt;&gt;"","Entregado",IF(NOT(ISNUMBER(IF(Q484&lt;&gt;"",Q484,I484))),"REVISAR TE",IF(AND(ISNUMBER(Resumen!$B$3),IF(Q484&lt;&gt;"",Q484,I484)&lt;Resumen!$B$3),"REVISAR",IF(IF(Q484&lt;&gt;"",Q484,I484)&lt;TODAY(),"ATRASADO",IF(IF(Q484&lt;&gt;"",Q484,I484)-TODAY()&lt;=2,"POR VENCER","EN TIEMPO")))))</f>
        <v>Entregado</v>
      </c>
      <c r="N484" s="23" t="s">
        <v>388</v>
      </c>
      <c r="P484" s="23" t="s">
        <v>958</v>
      </c>
      <c r="Q484" s="28"/>
    </row>
    <row r="485" spans="1:17" ht="16.5" hidden="1" x14ac:dyDescent="0.3">
      <c r="A485" s="23" t="s">
        <v>956</v>
      </c>
      <c r="B485" s="23" t="s">
        <v>52</v>
      </c>
      <c r="C485" s="23" t="s">
        <v>964</v>
      </c>
      <c r="D485" s="24">
        <v>46192</v>
      </c>
      <c r="E485" s="25">
        <v>1</v>
      </c>
      <c r="F485" s="24">
        <v>46192</v>
      </c>
      <c r="G485" s="23" t="s">
        <v>180</v>
      </c>
      <c r="H485" s="26">
        <v>14</v>
      </c>
      <c r="I485" s="24">
        <f t="shared" si="21"/>
        <v>46206</v>
      </c>
      <c r="J485" s="26">
        <f t="shared" ca="1" si="22"/>
        <v>-98</v>
      </c>
      <c r="K485" s="26" t="str">
        <f t="shared" ca="1" si="23"/>
        <v/>
      </c>
      <c r="L485" s="27" t="s">
        <v>1567</v>
      </c>
      <c r="M485" s="26" t="str">
        <f ca="1">IF(L485&lt;&gt;"","Entregado",IF(NOT(ISNUMBER(IF(Q485&lt;&gt;"",Q485,I485))),"REVISAR TE",IF(AND(ISNUMBER(Resumen!$B$3),IF(Q485&lt;&gt;"",Q485,I485)&lt;Resumen!$B$3),"REVISAR",IF(IF(Q485&lt;&gt;"",Q485,I485)&lt;TODAY(),"ATRASADO",IF(IF(Q485&lt;&gt;"",Q485,I485)-TODAY()&lt;=2,"POR VENCER","EN TIEMPO")))))</f>
        <v>Entregado</v>
      </c>
      <c r="N485" s="23" t="s">
        <v>388</v>
      </c>
      <c r="P485" s="23" t="s">
        <v>958</v>
      </c>
      <c r="Q485" s="28"/>
    </row>
    <row r="486" spans="1:17" ht="16.5" hidden="1" x14ac:dyDescent="0.3">
      <c r="A486" s="23" t="s">
        <v>956</v>
      </c>
      <c r="B486" s="23" t="s">
        <v>52</v>
      </c>
      <c r="C486" s="23" t="s">
        <v>965</v>
      </c>
      <c r="D486" s="24">
        <v>46192</v>
      </c>
      <c r="E486" s="25">
        <v>1</v>
      </c>
      <c r="F486" s="24">
        <v>46192</v>
      </c>
      <c r="G486" s="23" t="s">
        <v>180</v>
      </c>
      <c r="H486" s="26">
        <v>14</v>
      </c>
      <c r="I486" s="24">
        <f t="shared" si="21"/>
        <v>46206</v>
      </c>
      <c r="J486" s="26">
        <f t="shared" ca="1" si="22"/>
        <v>-98</v>
      </c>
      <c r="K486" s="26" t="str">
        <f t="shared" ca="1" si="23"/>
        <v/>
      </c>
      <c r="L486" s="27" t="s">
        <v>1567</v>
      </c>
      <c r="M486" s="26" t="str">
        <f ca="1">IF(L486&lt;&gt;"","Entregado",IF(NOT(ISNUMBER(IF(Q486&lt;&gt;"",Q486,I486))),"REVISAR TE",IF(AND(ISNUMBER(Resumen!$B$3),IF(Q486&lt;&gt;"",Q486,I486)&lt;Resumen!$B$3),"REVISAR",IF(IF(Q486&lt;&gt;"",Q486,I486)&lt;TODAY(),"ATRASADO",IF(IF(Q486&lt;&gt;"",Q486,I486)-TODAY()&lt;=2,"POR VENCER","EN TIEMPO")))))</f>
        <v>Entregado</v>
      </c>
      <c r="N486" s="23" t="s">
        <v>388</v>
      </c>
      <c r="P486" s="23" t="s">
        <v>958</v>
      </c>
      <c r="Q486" s="28"/>
    </row>
    <row r="487" spans="1:17" ht="16.5" hidden="1" x14ac:dyDescent="0.3">
      <c r="A487" s="23" t="s">
        <v>956</v>
      </c>
      <c r="B487" s="23" t="s">
        <v>52</v>
      </c>
      <c r="C487" s="23" t="s">
        <v>966</v>
      </c>
      <c r="D487" s="24">
        <v>46192</v>
      </c>
      <c r="E487" s="25">
        <v>1</v>
      </c>
      <c r="F487" s="24">
        <v>46192</v>
      </c>
      <c r="G487" s="23" t="s">
        <v>180</v>
      </c>
      <c r="H487" s="26">
        <v>14</v>
      </c>
      <c r="I487" s="24">
        <f t="shared" si="21"/>
        <v>46206</v>
      </c>
      <c r="J487" s="26">
        <f t="shared" ca="1" si="22"/>
        <v>-98</v>
      </c>
      <c r="K487" s="26" t="str">
        <f t="shared" ca="1" si="23"/>
        <v/>
      </c>
      <c r="L487" s="27" t="s">
        <v>1567</v>
      </c>
      <c r="M487" s="26" t="str">
        <f ca="1">IF(L487&lt;&gt;"","Entregado",IF(NOT(ISNUMBER(IF(Q487&lt;&gt;"",Q487,I487))),"REVISAR TE",IF(AND(ISNUMBER(Resumen!$B$3),IF(Q487&lt;&gt;"",Q487,I487)&lt;Resumen!$B$3),"REVISAR",IF(IF(Q487&lt;&gt;"",Q487,I487)&lt;TODAY(),"ATRASADO",IF(IF(Q487&lt;&gt;"",Q487,I487)-TODAY()&lt;=2,"POR VENCER","EN TIEMPO")))))</f>
        <v>Entregado</v>
      </c>
      <c r="N487" s="23" t="s">
        <v>388</v>
      </c>
      <c r="P487" s="23" t="s">
        <v>958</v>
      </c>
      <c r="Q487" s="28"/>
    </row>
    <row r="488" spans="1:17" ht="16.5" hidden="1" x14ac:dyDescent="0.3">
      <c r="A488" s="23" t="s">
        <v>956</v>
      </c>
      <c r="B488" s="23" t="s">
        <v>52</v>
      </c>
      <c r="C488" s="23" t="s">
        <v>967</v>
      </c>
      <c r="D488" s="24">
        <v>46192</v>
      </c>
      <c r="E488" s="25">
        <v>1</v>
      </c>
      <c r="F488" s="24">
        <v>46192</v>
      </c>
      <c r="G488" s="23" t="s">
        <v>180</v>
      </c>
      <c r="H488" s="26">
        <v>14</v>
      </c>
      <c r="I488" s="24">
        <f t="shared" si="21"/>
        <v>46206</v>
      </c>
      <c r="J488" s="26">
        <f t="shared" ca="1" si="22"/>
        <v>-98</v>
      </c>
      <c r="K488" s="26" t="str">
        <f t="shared" ca="1" si="23"/>
        <v/>
      </c>
      <c r="L488" s="27" t="s">
        <v>1567</v>
      </c>
      <c r="M488" s="26" t="str">
        <f ca="1">IF(L488&lt;&gt;"","Entregado",IF(NOT(ISNUMBER(IF(Q488&lt;&gt;"",Q488,I488))),"REVISAR TE",IF(AND(ISNUMBER(Resumen!$B$3),IF(Q488&lt;&gt;"",Q488,I488)&lt;Resumen!$B$3),"REVISAR",IF(IF(Q488&lt;&gt;"",Q488,I488)&lt;TODAY(),"ATRASADO",IF(IF(Q488&lt;&gt;"",Q488,I488)-TODAY()&lt;=2,"POR VENCER","EN TIEMPO")))))</f>
        <v>Entregado</v>
      </c>
      <c r="N488" s="23" t="s">
        <v>388</v>
      </c>
      <c r="P488" s="23" t="s">
        <v>958</v>
      </c>
      <c r="Q488" s="28"/>
    </row>
    <row r="489" spans="1:17" ht="16.5" hidden="1" x14ac:dyDescent="0.3">
      <c r="A489" s="23" t="s">
        <v>956</v>
      </c>
      <c r="B489" s="23" t="s">
        <v>52</v>
      </c>
      <c r="C489" s="23" t="s">
        <v>968</v>
      </c>
      <c r="D489" s="24">
        <v>46192</v>
      </c>
      <c r="E489" s="25">
        <v>1</v>
      </c>
      <c r="F489" s="24">
        <v>46192</v>
      </c>
      <c r="G489" s="23" t="s">
        <v>180</v>
      </c>
      <c r="H489" s="26">
        <v>14</v>
      </c>
      <c r="I489" s="24">
        <f t="shared" si="21"/>
        <v>46206</v>
      </c>
      <c r="J489" s="26">
        <f t="shared" ca="1" si="22"/>
        <v>-98</v>
      </c>
      <c r="K489" s="26" t="str">
        <f t="shared" ca="1" si="23"/>
        <v/>
      </c>
      <c r="L489" s="27" t="s">
        <v>1567</v>
      </c>
      <c r="M489" s="26" t="str">
        <f ca="1">IF(L489&lt;&gt;"","Entregado",IF(NOT(ISNUMBER(IF(Q489&lt;&gt;"",Q489,I489))),"REVISAR TE",IF(AND(ISNUMBER(Resumen!$B$3),IF(Q489&lt;&gt;"",Q489,I489)&lt;Resumen!$B$3),"REVISAR",IF(IF(Q489&lt;&gt;"",Q489,I489)&lt;TODAY(),"ATRASADO",IF(IF(Q489&lt;&gt;"",Q489,I489)-TODAY()&lt;=2,"POR VENCER","EN TIEMPO")))))</f>
        <v>Entregado</v>
      </c>
      <c r="N489" s="23" t="s">
        <v>388</v>
      </c>
      <c r="P489" s="23" t="s">
        <v>958</v>
      </c>
      <c r="Q489" s="28"/>
    </row>
    <row r="490" spans="1:17" ht="16.5" hidden="1" x14ac:dyDescent="0.3">
      <c r="A490" s="23" t="s">
        <v>956</v>
      </c>
      <c r="B490" s="23" t="s">
        <v>52</v>
      </c>
      <c r="C490" s="23" t="s">
        <v>969</v>
      </c>
      <c r="D490" s="24">
        <v>46192</v>
      </c>
      <c r="E490" s="25">
        <v>1</v>
      </c>
      <c r="F490" s="24">
        <v>46192</v>
      </c>
      <c r="G490" s="23" t="s">
        <v>180</v>
      </c>
      <c r="H490" s="26">
        <v>14</v>
      </c>
      <c r="I490" s="24">
        <f t="shared" si="21"/>
        <v>46206</v>
      </c>
      <c r="J490" s="26">
        <f t="shared" ca="1" si="22"/>
        <v>-98</v>
      </c>
      <c r="K490" s="26" t="str">
        <f t="shared" ca="1" si="23"/>
        <v/>
      </c>
      <c r="L490" s="27" t="s">
        <v>1567</v>
      </c>
      <c r="M490" s="26" t="str">
        <f ca="1">IF(L490&lt;&gt;"","Entregado",IF(NOT(ISNUMBER(IF(Q490&lt;&gt;"",Q490,I490))),"REVISAR TE",IF(AND(ISNUMBER(Resumen!$B$3),IF(Q490&lt;&gt;"",Q490,I490)&lt;Resumen!$B$3),"REVISAR",IF(IF(Q490&lt;&gt;"",Q490,I490)&lt;TODAY(),"ATRASADO",IF(IF(Q490&lt;&gt;"",Q490,I490)-TODAY()&lt;=2,"POR VENCER","EN TIEMPO")))))</f>
        <v>Entregado</v>
      </c>
      <c r="N490" s="23" t="s">
        <v>388</v>
      </c>
      <c r="P490" s="23" t="s">
        <v>958</v>
      </c>
      <c r="Q490" s="28"/>
    </row>
    <row r="491" spans="1:17" ht="16.5" hidden="1" x14ac:dyDescent="0.3">
      <c r="A491" s="23" t="s">
        <v>956</v>
      </c>
      <c r="B491" s="23" t="s">
        <v>52</v>
      </c>
      <c r="C491" s="23" t="s">
        <v>970</v>
      </c>
      <c r="D491" s="24">
        <v>46192</v>
      </c>
      <c r="E491" s="25">
        <v>1</v>
      </c>
      <c r="F491" s="24">
        <v>46192</v>
      </c>
      <c r="G491" s="23" t="s">
        <v>180</v>
      </c>
      <c r="H491" s="26">
        <v>14</v>
      </c>
      <c r="I491" s="24">
        <f t="shared" si="21"/>
        <v>46206</v>
      </c>
      <c r="J491" s="26">
        <f t="shared" ca="1" si="22"/>
        <v>-98</v>
      </c>
      <c r="K491" s="26" t="str">
        <f t="shared" ca="1" si="23"/>
        <v/>
      </c>
      <c r="L491" s="27" t="s">
        <v>1567</v>
      </c>
      <c r="M491" s="26" t="str">
        <f ca="1">IF(L491&lt;&gt;"","Entregado",IF(NOT(ISNUMBER(IF(Q491&lt;&gt;"",Q491,I491))),"REVISAR TE",IF(AND(ISNUMBER(Resumen!$B$3),IF(Q491&lt;&gt;"",Q491,I491)&lt;Resumen!$B$3),"REVISAR",IF(IF(Q491&lt;&gt;"",Q491,I491)&lt;TODAY(),"ATRASADO",IF(IF(Q491&lt;&gt;"",Q491,I491)-TODAY()&lt;=2,"POR VENCER","EN TIEMPO")))))</f>
        <v>Entregado</v>
      </c>
      <c r="N491" s="23" t="s">
        <v>388</v>
      </c>
      <c r="P491" s="23" t="s">
        <v>958</v>
      </c>
      <c r="Q491" s="28"/>
    </row>
    <row r="492" spans="1:17" ht="16.5" hidden="1" x14ac:dyDescent="0.3">
      <c r="A492" s="23" t="s">
        <v>971</v>
      </c>
      <c r="B492" s="23" t="s">
        <v>52</v>
      </c>
      <c r="C492" s="23" t="s">
        <v>972</v>
      </c>
      <c r="D492" s="24">
        <v>46192</v>
      </c>
      <c r="E492" s="25">
        <v>1</v>
      </c>
      <c r="F492" s="24">
        <v>46192</v>
      </c>
      <c r="G492" s="23" t="s">
        <v>171</v>
      </c>
      <c r="H492" s="26">
        <v>7</v>
      </c>
      <c r="I492" s="24">
        <f t="shared" si="21"/>
        <v>46199</v>
      </c>
      <c r="J492" s="26">
        <f t="shared" ca="1" si="22"/>
        <v>-105</v>
      </c>
      <c r="K492" s="26" t="str">
        <f t="shared" ca="1" si="23"/>
        <v/>
      </c>
      <c r="L492" s="27" t="s">
        <v>1567</v>
      </c>
      <c r="M492" s="26" t="str">
        <f ca="1">IF(L492&lt;&gt;"","Entregado",IF(NOT(ISNUMBER(IF(Q492&lt;&gt;"",Q492,I492))),"REVISAR TE",IF(AND(ISNUMBER(Resumen!$B$3),IF(Q492&lt;&gt;"",Q492,I492)&lt;Resumen!$B$3),"REVISAR",IF(IF(Q492&lt;&gt;"",Q492,I492)&lt;TODAY(),"ATRASADO",IF(IF(Q492&lt;&gt;"",Q492,I492)-TODAY()&lt;=2,"POR VENCER","EN TIEMPO")))))</f>
        <v>Entregado</v>
      </c>
      <c r="N492" s="23" t="s">
        <v>165</v>
      </c>
      <c r="P492" s="23" t="s">
        <v>973</v>
      </c>
      <c r="Q492" s="28"/>
    </row>
    <row r="493" spans="1:17" ht="16.5" hidden="1" x14ac:dyDescent="0.3">
      <c r="A493" s="23" t="s">
        <v>971</v>
      </c>
      <c r="B493" s="23" t="s">
        <v>52</v>
      </c>
      <c r="C493" s="23" t="s">
        <v>974</v>
      </c>
      <c r="D493" s="24">
        <v>46192</v>
      </c>
      <c r="E493" s="25">
        <v>1</v>
      </c>
      <c r="F493" s="24">
        <v>46192</v>
      </c>
      <c r="G493" s="23" t="s">
        <v>171</v>
      </c>
      <c r="H493" s="26">
        <v>7</v>
      </c>
      <c r="I493" s="24">
        <f t="shared" si="21"/>
        <v>46199</v>
      </c>
      <c r="J493" s="26">
        <f t="shared" ca="1" si="22"/>
        <v>-105</v>
      </c>
      <c r="K493" s="26" t="str">
        <f t="shared" ca="1" si="23"/>
        <v/>
      </c>
      <c r="L493" s="27" t="s">
        <v>1567</v>
      </c>
      <c r="M493" s="26" t="str">
        <f ca="1">IF(L493&lt;&gt;"","Entregado",IF(NOT(ISNUMBER(IF(Q493&lt;&gt;"",Q493,I493))),"REVISAR TE",IF(AND(ISNUMBER(Resumen!$B$3),IF(Q493&lt;&gt;"",Q493,I493)&lt;Resumen!$B$3),"REVISAR",IF(IF(Q493&lt;&gt;"",Q493,I493)&lt;TODAY(),"ATRASADO",IF(IF(Q493&lt;&gt;"",Q493,I493)-TODAY()&lt;=2,"POR VENCER","EN TIEMPO")))))</f>
        <v>Entregado</v>
      </c>
      <c r="N493" s="23" t="s">
        <v>511</v>
      </c>
      <c r="P493" s="23" t="s">
        <v>973</v>
      </c>
      <c r="Q493" s="28"/>
    </row>
    <row r="494" spans="1:17" ht="16.5" hidden="1" x14ac:dyDescent="0.3">
      <c r="A494" s="23" t="s">
        <v>971</v>
      </c>
      <c r="B494" s="23" t="s">
        <v>52</v>
      </c>
      <c r="C494" s="23" t="s">
        <v>975</v>
      </c>
      <c r="D494" s="24">
        <v>46192</v>
      </c>
      <c r="E494" s="25">
        <v>1</v>
      </c>
      <c r="F494" s="24">
        <v>46192</v>
      </c>
      <c r="G494" s="23" t="s">
        <v>171</v>
      </c>
      <c r="H494" s="26">
        <v>7</v>
      </c>
      <c r="I494" s="24">
        <f t="shared" si="21"/>
        <v>46199</v>
      </c>
      <c r="J494" s="26">
        <f t="shared" ca="1" si="22"/>
        <v>-105</v>
      </c>
      <c r="K494" s="26" t="str">
        <f t="shared" ca="1" si="23"/>
        <v/>
      </c>
      <c r="L494" s="27" t="s">
        <v>1567</v>
      </c>
      <c r="M494" s="26" t="str">
        <f ca="1">IF(L494&lt;&gt;"","Entregado",IF(NOT(ISNUMBER(IF(Q494&lt;&gt;"",Q494,I494))),"REVISAR TE",IF(AND(ISNUMBER(Resumen!$B$3),IF(Q494&lt;&gt;"",Q494,I494)&lt;Resumen!$B$3),"REVISAR",IF(IF(Q494&lt;&gt;"",Q494,I494)&lt;TODAY(),"ATRASADO",IF(IF(Q494&lt;&gt;"",Q494,I494)-TODAY()&lt;=2,"POR VENCER","EN TIEMPO")))))</f>
        <v>Entregado</v>
      </c>
      <c r="N494" s="23" t="s">
        <v>165</v>
      </c>
      <c r="P494" s="23" t="s">
        <v>973</v>
      </c>
      <c r="Q494" s="28"/>
    </row>
    <row r="495" spans="1:17" ht="16.5" hidden="1" x14ac:dyDescent="0.3">
      <c r="A495" s="23" t="s">
        <v>971</v>
      </c>
      <c r="B495" s="23" t="s">
        <v>52</v>
      </c>
      <c r="C495" s="23" t="s">
        <v>976</v>
      </c>
      <c r="D495" s="24">
        <v>46192</v>
      </c>
      <c r="E495" s="25">
        <v>1</v>
      </c>
      <c r="F495" s="24">
        <v>46192</v>
      </c>
      <c r="G495" s="23" t="s">
        <v>171</v>
      </c>
      <c r="H495" s="26">
        <v>7</v>
      </c>
      <c r="I495" s="24">
        <f t="shared" si="21"/>
        <v>46199</v>
      </c>
      <c r="J495" s="26">
        <f t="shared" ca="1" si="22"/>
        <v>-105</v>
      </c>
      <c r="K495" s="26" t="str">
        <f t="shared" ca="1" si="23"/>
        <v/>
      </c>
      <c r="L495" s="27" t="s">
        <v>1567</v>
      </c>
      <c r="M495" s="26" t="str">
        <f ca="1">IF(L495&lt;&gt;"","Entregado",IF(NOT(ISNUMBER(IF(Q495&lt;&gt;"",Q495,I495))),"REVISAR TE",IF(AND(ISNUMBER(Resumen!$B$3),IF(Q495&lt;&gt;"",Q495,I495)&lt;Resumen!$B$3),"REVISAR",IF(IF(Q495&lt;&gt;"",Q495,I495)&lt;TODAY(),"ATRASADO",IF(IF(Q495&lt;&gt;"",Q495,I495)-TODAY()&lt;=2,"POR VENCER","EN TIEMPO")))))</f>
        <v>Entregado</v>
      </c>
      <c r="N495" s="23" t="s">
        <v>511</v>
      </c>
      <c r="P495" s="23" t="s">
        <v>973</v>
      </c>
      <c r="Q495" s="28"/>
    </row>
    <row r="496" spans="1:17" ht="16.5" hidden="1" x14ac:dyDescent="0.3">
      <c r="A496" s="23" t="s">
        <v>971</v>
      </c>
      <c r="B496" s="23" t="s">
        <v>52</v>
      </c>
      <c r="C496" s="23" t="s">
        <v>977</v>
      </c>
      <c r="D496" s="24">
        <v>46192</v>
      </c>
      <c r="E496" s="25">
        <v>1</v>
      </c>
      <c r="F496" s="24">
        <v>46192</v>
      </c>
      <c r="G496" s="23" t="s">
        <v>171</v>
      </c>
      <c r="H496" s="26">
        <v>7</v>
      </c>
      <c r="I496" s="24">
        <f t="shared" si="21"/>
        <v>46199</v>
      </c>
      <c r="J496" s="26">
        <f t="shared" ca="1" si="22"/>
        <v>-105</v>
      </c>
      <c r="K496" s="26" t="str">
        <f t="shared" ca="1" si="23"/>
        <v/>
      </c>
      <c r="L496" s="27" t="s">
        <v>1567</v>
      </c>
      <c r="M496" s="26" t="str">
        <f ca="1">IF(L496&lt;&gt;"","Entregado",IF(NOT(ISNUMBER(IF(Q496&lt;&gt;"",Q496,I496))),"REVISAR TE",IF(AND(ISNUMBER(Resumen!$B$3),IF(Q496&lt;&gt;"",Q496,I496)&lt;Resumen!$B$3),"REVISAR",IF(IF(Q496&lt;&gt;"",Q496,I496)&lt;TODAY(),"ATRASADO",IF(IF(Q496&lt;&gt;"",Q496,I496)-TODAY()&lt;=2,"POR VENCER","EN TIEMPO")))))</f>
        <v>Entregado</v>
      </c>
      <c r="N496" s="23" t="s">
        <v>216</v>
      </c>
      <c r="P496" s="23" t="s">
        <v>973</v>
      </c>
      <c r="Q496" s="28"/>
    </row>
    <row r="497" spans="1:17" ht="16.5" hidden="1" x14ac:dyDescent="0.3">
      <c r="A497" s="23" t="s">
        <v>978</v>
      </c>
      <c r="B497" s="23" t="s">
        <v>52</v>
      </c>
      <c r="C497" s="23" t="s">
        <v>979</v>
      </c>
      <c r="D497" s="24">
        <v>46195</v>
      </c>
      <c r="E497" s="25">
        <v>1</v>
      </c>
      <c r="F497" s="24">
        <v>46195</v>
      </c>
      <c r="G497" s="23" t="s">
        <v>137</v>
      </c>
      <c r="H497" s="26">
        <v>28</v>
      </c>
      <c r="I497" s="24">
        <f t="shared" si="21"/>
        <v>46223</v>
      </c>
      <c r="J497" s="26">
        <f t="shared" ca="1" si="22"/>
        <v>-81</v>
      </c>
      <c r="K497" s="26" t="str">
        <f t="shared" ca="1" si="23"/>
        <v/>
      </c>
      <c r="L497" s="27" t="s">
        <v>1567</v>
      </c>
      <c r="M497" s="26" t="str">
        <f ca="1">IF(L497&lt;&gt;"","Entregado",IF(NOT(ISNUMBER(IF(Q497&lt;&gt;"",Q497,I497))),"REVISAR TE",IF(AND(ISNUMBER(Resumen!$B$3),IF(Q497&lt;&gt;"",Q497,I497)&lt;Resumen!$B$3),"REVISAR",IF(IF(Q497&lt;&gt;"",Q497,I497)&lt;TODAY(),"ATRASADO",IF(IF(Q497&lt;&gt;"",Q497,I497)-TODAY()&lt;=2,"POR VENCER","EN TIEMPO")))))</f>
        <v>Entregado</v>
      </c>
      <c r="N497" s="23" t="s">
        <v>245</v>
      </c>
      <c r="P497" s="23" t="s">
        <v>980</v>
      </c>
      <c r="Q497" s="28"/>
    </row>
    <row r="498" spans="1:17" ht="16.5" hidden="1" x14ac:dyDescent="0.3">
      <c r="A498" s="23" t="s">
        <v>981</v>
      </c>
      <c r="B498" s="23" t="s">
        <v>52</v>
      </c>
      <c r="C498" s="23" t="s">
        <v>982</v>
      </c>
      <c r="D498" s="24">
        <v>46195</v>
      </c>
      <c r="E498" s="25">
        <v>1</v>
      </c>
      <c r="F498" s="24">
        <v>46195</v>
      </c>
      <c r="G498" s="23" t="s">
        <v>137</v>
      </c>
      <c r="H498" s="26">
        <v>28</v>
      </c>
      <c r="I498" s="24">
        <f t="shared" si="21"/>
        <v>46223</v>
      </c>
      <c r="J498" s="26">
        <f t="shared" ca="1" si="22"/>
        <v>-81</v>
      </c>
      <c r="K498" s="26" t="str">
        <f t="shared" ca="1" si="23"/>
        <v/>
      </c>
      <c r="L498" s="27" t="s">
        <v>1567</v>
      </c>
      <c r="M498" s="26" t="str">
        <f ca="1">IF(L498&lt;&gt;"","Entregado",IF(NOT(ISNUMBER(IF(Q498&lt;&gt;"",Q498,I498))),"REVISAR TE",IF(AND(ISNUMBER(Resumen!$B$3),IF(Q498&lt;&gt;"",Q498,I498)&lt;Resumen!$B$3),"REVISAR",IF(IF(Q498&lt;&gt;"",Q498,I498)&lt;TODAY(),"ATRASADO",IF(IF(Q498&lt;&gt;"",Q498,I498)-TODAY()&lt;=2,"POR VENCER","EN TIEMPO")))))</f>
        <v>Entregado</v>
      </c>
      <c r="N498" s="23" t="s">
        <v>245</v>
      </c>
      <c r="P498" s="23" t="s">
        <v>983</v>
      </c>
      <c r="Q498" s="28"/>
    </row>
    <row r="499" spans="1:17" ht="16.5" hidden="1" x14ac:dyDescent="0.3">
      <c r="A499" s="23" t="s">
        <v>984</v>
      </c>
      <c r="B499" s="23" t="s">
        <v>52</v>
      </c>
      <c r="C499" s="23" t="s">
        <v>985</v>
      </c>
      <c r="D499" s="24">
        <v>46195</v>
      </c>
      <c r="E499" s="25">
        <v>1</v>
      </c>
      <c r="F499" s="24">
        <v>46195</v>
      </c>
      <c r="G499" s="23" t="s">
        <v>137</v>
      </c>
      <c r="H499" s="26">
        <v>28</v>
      </c>
      <c r="I499" s="24">
        <f t="shared" si="21"/>
        <v>46223</v>
      </c>
      <c r="J499" s="26">
        <f t="shared" ca="1" si="22"/>
        <v>-81</v>
      </c>
      <c r="K499" s="26" t="str">
        <f t="shared" ca="1" si="23"/>
        <v/>
      </c>
      <c r="L499" s="27" t="s">
        <v>1567</v>
      </c>
      <c r="M499" s="26" t="str">
        <f ca="1">IF(L499&lt;&gt;"","Entregado",IF(NOT(ISNUMBER(IF(Q499&lt;&gt;"",Q499,I499))),"REVISAR TE",IF(AND(ISNUMBER(Resumen!$B$3),IF(Q499&lt;&gt;"",Q499,I499)&lt;Resumen!$B$3),"REVISAR",IF(IF(Q499&lt;&gt;"",Q499,I499)&lt;TODAY(),"ATRASADO",IF(IF(Q499&lt;&gt;"",Q499,I499)-TODAY()&lt;=2,"POR VENCER","EN TIEMPO")))))</f>
        <v>Entregado</v>
      </c>
      <c r="N499" s="23" t="s">
        <v>245</v>
      </c>
      <c r="P499" s="23" t="s">
        <v>986</v>
      </c>
      <c r="Q499" s="28"/>
    </row>
    <row r="500" spans="1:17" ht="16.5" hidden="1" x14ac:dyDescent="0.3">
      <c r="A500" s="23" t="s">
        <v>987</v>
      </c>
      <c r="B500" s="23" t="s">
        <v>52</v>
      </c>
      <c r="C500" s="23" t="s">
        <v>988</v>
      </c>
      <c r="D500" s="24">
        <v>46195</v>
      </c>
      <c r="E500" s="25">
        <v>1</v>
      </c>
      <c r="F500" s="24">
        <v>46195</v>
      </c>
      <c r="G500" s="23" t="s">
        <v>137</v>
      </c>
      <c r="H500" s="26">
        <v>28</v>
      </c>
      <c r="I500" s="24">
        <f t="shared" si="21"/>
        <v>46223</v>
      </c>
      <c r="J500" s="26">
        <f t="shared" ca="1" si="22"/>
        <v>-81</v>
      </c>
      <c r="K500" s="26" t="str">
        <f t="shared" ca="1" si="23"/>
        <v/>
      </c>
      <c r="L500" s="27" t="s">
        <v>1567</v>
      </c>
      <c r="M500" s="26" t="str">
        <f ca="1">IF(L500&lt;&gt;"","Entregado",IF(NOT(ISNUMBER(IF(Q500&lt;&gt;"",Q500,I500))),"REVISAR TE",IF(AND(ISNUMBER(Resumen!$B$3),IF(Q500&lt;&gt;"",Q500,I500)&lt;Resumen!$B$3),"REVISAR",IF(IF(Q500&lt;&gt;"",Q500,I500)&lt;TODAY(),"ATRASADO",IF(IF(Q500&lt;&gt;"",Q500,I500)-TODAY()&lt;=2,"POR VENCER","EN TIEMPO")))))</f>
        <v>Entregado</v>
      </c>
      <c r="N500" s="23" t="s">
        <v>245</v>
      </c>
      <c r="P500" s="23" t="s">
        <v>989</v>
      </c>
      <c r="Q500" s="28"/>
    </row>
    <row r="501" spans="1:17" ht="16.5" hidden="1" x14ac:dyDescent="0.3">
      <c r="A501" s="23" t="s">
        <v>990</v>
      </c>
      <c r="B501" s="23" t="s">
        <v>56</v>
      </c>
      <c r="C501" s="23" t="s">
        <v>991</v>
      </c>
      <c r="D501" s="24">
        <v>46195</v>
      </c>
      <c r="E501" s="25">
        <v>1</v>
      </c>
      <c r="F501" s="24">
        <v>46195</v>
      </c>
      <c r="G501" s="23" t="s">
        <v>171</v>
      </c>
      <c r="H501" s="26">
        <v>7</v>
      </c>
      <c r="I501" s="24">
        <f t="shared" si="21"/>
        <v>46202</v>
      </c>
      <c r="J501" s="26">
        <f t="shared" ca="1" si="22"/>
        <v>-102</v>
      </c>
      <c r="K501" s="26" t="str">
        <f t="shared" ca="1" si="23"/>
        <v/>
      </c>
      <c r="L501" s="27" t="s">
        <v>1567</v>
      </c>
      <c r="M501" s="26" t="str">
        <f ca="1">IF(L501&lt;&gt;"","Entregado",IF(NOT(ISNUMBER(IF(Q501&lt;&gt;"",Q501,I501))),"REVISAR TE",IF(AND(ISNUMBER(Resumen!$B$3),IF(Q501&lt;&gt;"",Q501,I501)&lt;Resumen!$B$3),"REVISAR",IF(IF(Q501&lt;&gt;"",Q501,I501)&lt;TODAY(),"ATRASADO",IF(IF(Q501&lt;&gt;"",Q501,I501)-TODAY()&lt;=2,"POR VENCER","EN TIEMPO")))))</f>
        <v>Entregado</v>
      </c>
      <c r="N501" s="23" t="s">
        <v>146</v>
      </c>
      <c r="P501" s="23" t="s">
        <v>992</v>
      </c>
      <c r="Q501" s="28"/>
    </row>
    <row r="502" spans="1:17" ht="16.5" hidden="1" x14ac:dyDescent="0.3">
      <c r="A502" s="23" t="s">
        <v>993</v>
      </c>
      <c r="B502" s="23" t="s">
        <v>56</v>
      </c>
      <c r="C502" s="23" t="s">
        <v>994</v>
      </c>
      <c r="D502" s="24">
        <v>46195</v>
      </c>
      <c r="E502" s="25">
        <v>1</v>
      </c>
      <c r="F502" s="24">
        <v>46195</v>
      </c>
      <c r="G502" s="23" t="s">
        <v>103</v>
      </c>
      <c r="H502" s="26">
        <v>35</v>
      </c>
      <c r="I502" s="24">
        <f t="shared" si="21"/>
        <v>46230</v>
      </c>
      <c r="J502" s="26">
        <f t="shared" ca="1" si="22"/>
        <v>-74</v>
      </c>
      <c r="K502" s="26" t="str">
        <f t="shared" ca="1" si="23"/>
        <v/>
      </c>
      <c r="L502" s="27" t="s">
        <v>1567</v>
      </c>
      <c r="M502" s="26" t="str">
        <f ca="1">IF(L502&lt;&gt;"","Entregado",IF(NOT(ISNUMBER(IF(Q502&lt;&gt;"",Q502,I502))),"REVISAR TE",IF(AND(ISNUMBER(Resumen!$B$3),IF(Q502&lt;&gt;"",Q502,I502)&lt;Resumen!$B$3),"REVISAR",IF(IF(Q502&lt;&gt;"",Q502,I502)&lt;TODAY(),"ATRASADO",IF(IF(Q502&lt;&gt;"",Q502,I502)-TODAY()&lt;=2,"POR VENCER","EN TIEMPO")))))</f>
        <v>Entregado</v>
      </c>
      <c r="N502" s="23" t="s">
        <v>84</v>
      </c>
      <c r="P502" s="23" t="s">
        <v>995</v>
      </c>
      <c r="Q502" s="28"/>
    </row>
    <row r="503" spans="1:17" ht="16.5" hidden="1" x14ac:dyDescent="0.3">
      <c r="A503" s="23" t="s">
        <v>996</v>
      </c>
      <c r="B503" s="23" t="s">
        <v>58</v>
      </c>
      <c r="C503" s="23" t="s">
        <v>997</v>
      </c>
      <c r="D503" s="24">
        <v>46197</v>
      </c>
      <c r="E503" s="25">
        <v>2</v>
      </c>
      <c r="F503" s="24">
        <v>46197</v>
      </c>
      <c r="G503" s="23" t="s">
        <v>83</v>
      </c>
      <c r="H503" s="26">
        <v>21</v>
      </c>
      <c r="I503" s="24">
        <f t="shared" si="21"/>
        <v>46218</v>
      </c>
      <c r="J503" s="26">
        <f t="shared" ca="1" si="22"/>
        <v>-86</v>
      </c>
      <c r="K503" s="26" t="str">
        <f t="shared" ca="1" si="23"/>
        <v/>
      </c>
      <c r="L503" s="27" t="s">
        <v>1567</v>
      </c>
      <c r="M503" s="26" t="str">
        <f ca="1">IF(L503&lt;&gt;"","Entregado",IF(NOT(ISNUMBER(IF(Q503&lt;&gt;"",Q503,I503))),"REVISAR TE",IF(AND(ISNUMBER(Resumen!$B$3),IF(Q503&lt;&gt;"",Q503,I503)&lt;Resumen!$B$3),"REVISAR",IF(IF(Q503&lt;&gt;"",Q503,I503)&lt;TODAY(),"ATRASADO",IF(IF(Q503&lt;&gt;"",Q503,I503)-TODAY()&lt;=2,"POR VENCER","EN TIEMPO")))))</f>
        <v>Entregado</v>
      </c>
      <c r="N503" s="23" t="s">
        <v>98</v>
      </c>
      <c r="P503" s="23" t="s">
        <v>998</v>
      </c>
      <c r="Q503" s="28"/>
    </row>
    <row r="504" spans="1:17" ht="16.5" hidden="1" x14ac:dyDescent="0.3">
      <c r="A504" s="23" t="s">
        <v>999</v>
      </c>
      <c r="B504" s="23" t="s">
        <v>56</v>
      </c>
      <c r="C504" s="23" t="s">
        <v>1000</v>
      </c>
      <c r="D504" s="24">
        <v>46198</v>
      </c>
      <c r="E504" s="25">
        <v>1</v>
      </c>
      <c r="F504" s="24">
        <v>46198</v>
      </c>
      <c r="G504" s="23" t="s">
        <v>103</v>
      </c>
      <c r="H504" s="26">
        <v>35</v>
      </c>
      <c r="I504" s="24">
        <f t="shared" si="21"/>
        <v>46233</v>
      </c>
      <c r="J504" s="26">
        <f t="shared" ca="1" si="22"/>
        <v>-71</v>
      </c>
      <c r="K504" s="26" t="str">
        <f t="shared" ca="1" si="23"/>
        <v/>
      </c>
      <c r="L504" s="27" t="s">
        <v>1567</v>
      </c>
      <c r="M504" s="26" t="str">
        <f ca="1">IF(L504&lt;&gt;"","Entregado",IF(NOT(ISNUMBER(IF(Q504&lt;&gt;"",Q504,I504))),"REVISAR TE",IF(AND(ISNUMBER(Resumen!$B$3),IF(Q504&lt;&gt;"",Q504,I504)&lt;Resumen!$B$3),"REVISAR",IF(IF(Q504&lt;&gt;"",Q504,I504)&lt;TODAY(),"ATRASADO",IF(IF(Q504&lt;&gt;"",Q504,I504)-TODAY()&lt;=2,"POR VENCER","EN TIEMPO")))))</f>
        <v>Entregado</v>
      </c>
      <c r="N504" s="23" t="s">
        <v>84</v>
      </c>
      <c r="P504" s="23" t="s">
        <v>1001</v>
      </c>
      <c r="Q504" s="28"/>
    </row>
    <row r="505" spans="1:17" ht="16.5" hidden="1" x14ac:dyDescent="0.3">
      <c r="A505" s="23" t="s">
        <v>1002</v>
      </c>
      <c r="B505" s="23" t="s">
        <v>56</v>
      </c>
      <c r="C505" s="23" t="s">
        <v>1003</v>
      </c>
      <c r="D505" s="24">
        <v>46198</v>
      </c>
      <c r="E505" s="25">
        <v>1</v>
      </c>
      <c r="F505" s="24">
        <v>46198</v>
      </c>
      <c r="G505" s="23" t="s">
        <v>180</v>
      </c>
      <c r="H505" s="26">
        <v>14</v>
      </c>
      <c r="I505" s="24">
        <f t="shared" si="21"/>
        <v>46212</v>
      </c>
      <c r="J505" s="26">
        <f t="shared" ca="1" si="22"/>
        <v>-92</v>
      </c>
      <c r="K505" s="26" t="str">
        <f t="shared" ca="1" si="23"/>
        <v/>
      </c>
      <c r="L505" s="27" t="s">
        <v>1567</v>
      </c>
      <c r="M505" s="26" t="str">
        <f ca="1">IF(L505&lt;&gt;"","Entregado",IF(NOT(ISNUMBER(IF(Q505&lt;&gt;"",Q505,I505))),"REVISAR TE",IF(AND(ISNUMBER(Resumen!$B$3),IF(Q505&lt;&gt;"",Q505,I505)&lt;Resumen!$B$3),"REVISAR",IF(IF(Q505&lt;&gt;"",Q505,I505)&lt;TODAY(),"ATRASADO",IF(IF(Q505&lt;&gt;"",Q505,I505)-TODAY()&lt;=2,"POR VENCER","EN TIEMPO")))))</f>
        <v>Entregado</v>
      </c>
      <c r="N505" s="23" t="s">
        <v>165</v>
      </c>
      <c r="P505" s="23" t="s">
        <v>1004</v>
      </c>
      <c r="Q505" s="28"/>
    </row>
    <row r="506" spans="1:17" ht="16.5" hidden="1" x14ac:dyDescent="0.3">
      <c r="A506" s="23" t="s">
        <v>1005</v>
      </c>
      <c r="B506" s="23" t="s">
        <v>52</v>
      </c>
      <c r="C506" s="23" t="s">
        <v>1006</v>
      </c>
      <c r="D506" s="24">
        <v>46198</v>
      </c>
      <c r="E506" s="25">
        <v>5</v>
      </c>
      <c r="F506" s="24">
        <v>46198</v>
      </c>
      <c r="G506" s="23" t="s">
        <v>553</v>
      </c>
      <c r="H506" s="26">
        <v>28</v>
      </c>
      <c r="I506" s="24">
        <f t="shared" si="21"/>
        <v>46226</v>
      </c>
      <c r="J506" s="26">
        <f t="shared" ca="1" si="22"/>
        <v>-78</v>
      </c>
      <c r="K506" s="26" t="str">
        <f t="shared" ca="1" si="23"/>
        <v/>
      </c>
      <c r="L506" s="27" t="s">
        <v>1567</v>
      </c>
      <c r="M506" s="26" t="str">
        <f ca="1">IF(L506&lt;&gt;"","Entregado",IF(NOT(ISNUMBER(IF(Q506&lt;&gt;"",Q506,I506))),"REVISAR TE",IF(AND(ISNUMBER(Resumen!$B$3),IF(Q506&lt;&gt;"",Q506,I506)&lt;Resumen!$B$3),"REVISAR",IF(IF(Q506&lt;&gt;"",Q506,I506)&lt;TODAY(),"ATRASADO",IF(IF(Q506&lt;&gt;"",Q506,I506)-TODAY()&lt;=2,"POR VENCER","EN TIEMPO")))))</f>
        <v>Entregado</v>
      </c>
      <c r="N506" s="23" t="s">
        <v>94</v>
      </c>
      <c r="P506" s="23" t="s">
        <v>1007</v>
      </c>
      <c r="Q506" s="28"/>
    </row>
    <row r="507" spans="1:17" ht="16.5" hidden="1" x14ac:dyDescent="0.3">
      <c r="A507" s="23" t="s">
        <v>1005</v>
      </c>
      <c r="B507" s="23" t="s">
        <v>52</v>
      </c>
      <c r="C507" s="23" t="s">
        <v>1008</v>
      </c>
      <c r="D507" s="24">
        <v>46198</v>
      </c>
      <c r="E507" s="25">
        <v>5</v>
      </c>
      <c r="F507" s="24">
        <v>46198</v>
      </c>
      <c r="G507" s="23" t="s">
        <v>553</v>
      </c>
      <c r="H507" s="26">
        <v>28</v>
      </c>
      <c r="I507" s="24">
        <f t="shared" si="21"/>
        <v>46226</v>
      </c>
      <c r="J507" s="26">
        <f t="shared" ca="1" si="22"/>
        <v>-78</v>
      </c>
      <c r="K507" s="26" t="str">
        <f t="shared" ca="1" si="23"/>
        <v/>
      </c>
      <c r="L507" s="27" t="s">
        <v>1567</v>
      </c>
      <c r="M507" s="26" t="str">
        <f ca="1">IF(L507&lt;&gt;"","Entregado",IF(NOT(ISNUMBER(IF(Q507&lt;&gt;"",Q507,I507))),"REVISAR TE",IF(AND(ISNUMBER(Resumen!$B$3),IF(Q507&lt;&gt;"",Q507,I507)&lt;Resumen!$B$3),"REVISAR",IF(IF(Q507&lt;&gt;"",Q507,I507)&lt;TODAY(),"ATRASADO",IF(IF(Q507&lt;&gt;"",Q507,I507)-TODAY()&lt;=2,"POR VENCER","EN TIEMPO")))))</f>
        <v>Entregado</v>
      </c>
      <c r="N507" s="23" t="s">
        <v>94</v>
      </c>
      <c r="P507" s="23" t="s">
        <v>1007</v>
      </c>
      <c r="Q507" s="28"/>
    </row>
    <row r="508" spans="1:17" ht="16.5" hidden="1" x14ac:dyDescent="0.3">
      <c r="A508" s="23" t="s">
        <v>1005</v>
      </c>
      <c r="B508" s="23" t="s">
        <v>52</v>
      </c>
      <c r="C508" s="23" t="s">
        <v>1009</v>
      </c>
      <c r="D508" s="24">
        <v>46198</v>
      </c>
      <c r="E508" s="25">
        <v>5</v>
      </c>
      <c r="F508" s="24">
        <v>46198</v>
      </c>
      <c r="G508" s="23" t="s">
        <v>553</v>
      </c>
      <c r="H508" s="26">
        <v>28</v>
      </c>
      <c r="I508" s="24">
        <f t="shared" si="21"/>
        <v>46226</v>
      </c>
      <c r="J508" s="26">
        <f t="shared" ca="1" si="22"/>
        <v>-78</v>
      </c>
      <c r="K508" s="26" t="str">
        <f t="shared" ca="1" si="23"/>
        <v/>
      </c>
      <c r="L508" s="27" t="s">
        <v>1567</v>
      </c>
      <c r="M508" s="26" t="str">
        <f ca="1">IF(L508&lt;&gt;"","Entregado",IF(NOT(ISNUMBER(IF(Q508&lt;&gt;"",Q508,I508))),"REVISAR TE",IF(AND(ISNUMBER(Resumen!$B$3),IF(Q508&lt;&gt;"",Q508,I508)&lt;Resumen!$B$3),"REVISAR",IF(IF(Q508&lt;&gt;"",Q508,I508)&lt;TODAY(),"ATRASADO",IF(IF(Q508&lt;&gt;"",Q508,I508)-TODAY()&lt;=2,"POR VENCER","EN TIEMPO")))))</f>
        <v>Entregado</v>
      </c>
      <c r="N508" s="23" t="s">
        <v>94</v>
      </c>
      <c r="P508" s="23" t="s">
        <v>1007</v>
      </c>
      <c r="Q508" s="28"/>
    </row>
    <row r="509" spans="1:17" ht="16.5" hidden="1" x14ac:dyDescent="0.3">
      <c r="A509" s="23" t="s">
        <v>1010</v>
      </c>
      <c r="B509" s="23" t="s">
        <v>58</v>
      </c>
      <c r="C509" s="23" t="s">
        <v>1011</v>
      </c>
      <c r="D509" s="24">
        <v>46199</v>
      </c>
      <c r="E509" s="25">
        <v>1</v>
      </c>
      <c r="F509" s="24">
        <v>46199</v>
      </c>
      <c r="G509" s="23" t="s">
        <v>192</v>
      </c>
      <c r="H509" s="26">
        <v>35</v>
      </c>
      <c r="I509" s="24">
        <f t="shared" si="21"/>
        <v>46234</v>
      </c>
      <c r="J509" s="26">
        <f t="shared" ca="1" si="22"/>
        <v>-70</v>
      </c>
      <c r="K509" s="26" t="str">
        <f t="shared" ca="1" si="23"/>
        <v/>
      </c>
      <c r="L509" s="27" t="s">
        <v>1567</v>
      </c>
      <c r="M509" s="26" t="str">
        <f ca="1">IF(L509&lt;&gt;"","Entregado",IF(NOT(ISNUMBER(IF(Q509&lt;&gt;"",Q509,I509))),"REVISAR TE",IF(AND(ISNUMBER(Resumen!$B$3),IF(Q509&lt;&gt;"",Q509,I509)&lt;Resumen!$B$3),"REVISAR",IF(IF(Q509&lt;&gt;"",Q509,I509)&lt;TODAY(),"ATRASADO",IF(IF(Q509&lt;&gt;"",Q509,I509)-TODAY()&lt;=2,"POR VENCER","EN TIEMPO")))))</f>
        <v>Entregado</v>
      </c>
      <c r="N509" s="23" t="s">
        <v>98</v>
      </c>
      <c r="P509" s="23" t="s">
        <v>1012</v>
      </c>
      <c r="Q509" s="28"/>
    </row>
    <row r="510" spans="1:17" ht="16.5" hidden="1" x14ac:dyDescent="0.3">
      <c r="A510" s="23" t="s">
        <v>1010</v>
      </c>
      <c r="B510" s="23" t="s">
        <v>58</v>
      </c>
      <c r="C510" s="23" t="s">
        <v>1013</v>
      </c>
      <c r="D510" s="24">
        <v>46199</v>
      </c>
      <c r="E510" s="25">
        <v>12</v>
      </c>
      <c r="F510" s="24">
        <v>46199</v>
      </c>
      <c r="G510" s="23" t="s">
        <v>192</v>
      </c>
      <c r="H510" s="26">
        <v>35</v>
      </c>
      <c r="I510" s="24">
        <f t="shared" si="21"/>
        <v>46234</v>
      </c>
      <c r="J510" s="26">
        <f t="shared" ca="1" si="22"/>
        <v>-70</v>
      </c>
      <c r="K510" s="26" t="str">
        <f t="shared" ca="1" si="23"/>
        <v/>
      </c>
      <c r="L510" s="27" t="s">
        <v>1567</v>
      </c>
      <c r="M510" s="26" t="str">
        <f ca="1">IF(L510&lt;&gt;"","Entregado",IF(NOT(ISNUMBER(IF(Q510&lt;&gt;"",Q510,I510))),"REVISAR TE",IF(AND(ISNUMBER(Resumen!$B$3),IF(Q510&lt;&gt;"",Q510,I510)&lt;Resumen!$B$3),"REVISAR",IF(IF(Q510&lt;&gt;"",Q510,I510)&lt;TODAY(),"ATRASADO",IF(IF(Q510&lt;&gt;"",Q510,I510)-TODAY()&lt;=2,"POR VENCER","EN TIEMPO")))))</f>
        <v>Entregado</v>
      </c>
      <c r="N510" s="23" t="s">
        <v>98</v>
      </c>
      <c r="P510" s="23" t="s">
        <v>1012</v>
      </c>
      <c r="Q510" s="28"/>
    </row>
    <row r="511" spans="1:17" ht="16.5" hidden="1" x14ac:dyDescent="0.3">
      <c r="A511" s="23" t="s">
        <v>1010</v>
      </c>
      <c r="B511" s="23" t="s">
        <v>58</v>
      </c>
      <c r="C511" s="23" t="s">
        <v>1014</v>
      </c>
      <c r="D511" s="24">
        <v>46199</v>
      </c>
      <c r="E511" s="25">
        <v>11</v>
      </c>
      <c r="F511" s="24">
        <v>46199</v>
      </c>
      <c r="G511" s="23" t="s">
        <v>192</v>
      </c>
      <c r="H511" s="26">
        <v>35</v>
      </c>
      <c r="I511" s="24">
        <f t="shared" si="21"/>
        <v>46234</v>
      </c>
      <c r="J511" s="26">
        <f t="shared" ca="1" si="22"/>
        <v>-70</v>
      </c>
      <c r="K511" s="26" t="str">
        <f t="shared" ca="1" si="23"/>
        <v/>
      </c>
      <c r="L511" s="27" t="s">
        <v>1567</v>
      </c>
      <c r="M511" s="26" t="str">
        <f ca="1">IF(L511&lt;&gt;"","Entregado",IF(NOT(ISNUMBER(IF(Q511&lt;&gt;"",Q511,I511))),"REVISAR TE",IF(AND(ISNUMBER(Resumen!$B$3),IF(Q511&lt;&gt;"",Q511,I511)&lt;Resumen!$B$3),"REVISAR",IF(IF(Q511&lt;&gt;"",Q511,I511)&lt;TODAY(),"ATRASADO",IF(IF(Q511&lt;&gt;"",Q511,I511)-TODAY()&lt;=2,"POR VENCER","EN TIEMPO")))))</f>
        <v>Entregado</v>
      </c>
      <c r="N511" s="23" t="s">
        <v>98</v>
      </c>
      <c r="P511" s="23" t="s">
        <v>1012</v>
      </c>
      <c r="Q511" s="28"/>
    </row>
    <row r="512" spans="1:17" ht="16.5" hidden="1" x14ac:dyDescent="0.3">
      <c r="A512" s="23" t="s">
        <v>1010</v>
      </c>
      <c r="B512" s="23" t="s">
        <v>58</v>
      </c>
      <c r="C512" s="23" t="s">
        <v>1015</v>
      </c>
      <c r="D512" s="24">
        <v>46199</v>
      </c>
      <c r="E512" s="25">
        <v>11</v>
      </c>
      <c r="F512" s="24">
        <v>46199</v>
      </c>
      <c r="G512" s="23" t="s">
        <v>192</v>
      </c>
      <c r="H512" s="26">
        <v>35</v>
      </c>
      <c r="I512" s="24">
        <f t="shared" si="21"/>
        <v>46234</v>
      </c>
      <c r="J512" s="26">
        <f t="shared" ca="1" si="22"/>
        <v>-70</v>
      </c>
      <c r="K512" s="26" t="str">
        <f t="shared" ca="1" si="23"/>
        <v/>
      </c>
      <c r="L512" s="27" t="s">
        <v>1567</v>
      </c>
      <c r="M512" s="26" t="str">
        <f ca="1">IF(L512&lt;&gt;"","Entregado",IF(NOT(ISNUMBER(IF(Q512&lt;&gt;"",Q512,I512))),"REVISAR TE",IF(AND(ISNUMBER(Resumen!$B$3),IF(Q512&lt;&gt;"",Q512,I512)&lt;Resumen!$B$3),"REVISAR",IF(IF(Q512&lt;&gt;"",Q512,I512)&lt;TODAY(),"ATRASADO",IF(IF(Q512&lt;&gt;"",Q512,I512)-TODAY()&lt;=2,"POR VENCER","EN TIEMPO")))))</f>
        <v>Entregado</v>
      </c>
      <c r="N512" s="23" t="s">
        <v>98</v>
      </c>
      <c r="P512" s="23" t="s">
        <v>1012</v>
      </c>
      <c r="Q512" s="28"/>
    </row>
    <row r="513" spans="1:17" ht="16.5" hidden="1" x14ac:dyDescent="0.3">
      <c r="A513" s="23" t="s">
        <v>1010</v>
      </c>
      <c r="B513" s="23" t="s">
        <v>58</v>
      </c>
      <c r="C513" s="23" t="s">
        <v>1016</v>
      </c>
      <c r="D513" s="24">
        <v>46199</v>
      </c>
      <c r="E513" s="25">
        <v>3</v>
      </c>
      <c r="F513" s="24">
        <v>46199</v>
      </c>
      <c r="G513" s="23" t="s">
        <v>192</v>
      </c>
      <c r="H513" s="26">
        <v>35</v>
      </c>
      <c r="I513" s="24">
        <f t="shared" si="21"/>
        <v>46234</v>
      </c>
      <c r="J513" s="26">
        <f t="shared" ca="1" si="22"/>
        <v>-70</v>
      </c>
      <c r="K513" s="26" t="str">
        <f t="shared" ca="1" si="23"/>
        <v/>
      </c>
      <c r="L513" s="27" t="s">
        <v>1567</v>
      </c>
      <c r="M513" s="26" t="str">
        <f ca="1">IF(L513&lt;&gt;"","Entregado",IF(NOT(ISNUMBER(IF(Q513&lt;&gt;"",Q513,I513))),"REVISAR TE",IF(AND(ISNUMBER(Resumen!$B$3),IF(Q513&lt;&gt;"",Q513,I513)&lt;Resumen!$B$3),"REVISAR",IF(IF(Q513&lt;&gt;"",Q513,I513)&lt;TODAY(),"ATRASADO",IF(IF(Q513&lt;&gt;"",Q513,I513)-TODAY()&lt;=2,"POR VENCER","EN TIEMPO")))))</f>
        <v>Entregado</v>
      </c>
      <c r="N513" s="23" t="s">
        <v>98</v>
      </c>
      <c r="P513" s="23" t="s">
        <v>1012</v>
      </c>
      <c r="Q513" s="28"/>
    </row>
    <row r="514" spans="1:17" ht="16.5" hidden="1" x14ac:dyDescent="0.3">
      <c r="A514" s="23" t="s">
        <v>1017</v>
      </c>
      <c r="B514" s="23" t="s">
        <v>63</v>
      </c>
      <c r="C514" s="23" t="s">
        <v>1019</v>
      </c>
      <c r="D514" s="24">
        <v>46202</v>
      </c>
      <c r="E514" s="25">
        <v>2</v>
      </c>
      <c r="F514" s="24">
        <v>46202</v>
      </c>
      <c r="G514" s="23" t="s">
        <v>821</v>
      </c>
      <c r="H514" s="26">
        <v>15</v>
      </c>
      <c r="I514" s="24">
        <f t="shared" ref="I514:I520" si="24">IF(AND(D514&lt;&gt;"",H514&lt;&gt;""),D514+H514,"")</f>
        <v>46217</v>
      </c>
      <c r="J514" s="26">
        <f t="shared" ref="J514:J577" ca="1" si="25">I514-TODAY()</f>
        <v>-87</v>
      </c>
      <c r="K514" s="26" t="str">
        <f t="shared" ref="K514:K577" ca="1" si="26">IF(AND(L514="",ISNUMBER(IF(Q514&lt;&gt;"",Q514,I514))),IF(IF(Q514&lt;&gt;"",Q514,I514)&lt;TODAY(),TODAY()-IF(Q514&lt;&gt;"",Q514,I514),""),"")</f>
        <v/>
      </c>
      <c r="L514" s="27" t="s">
        <v>1567</v>
      </c>
      <c r="M514" s="26" t="str">
        <f ca="1">IF(L514&lt;&gt;"","Entregado",IF(NOT(ISNUMBER(IF(Q514&lt;&gt;"",Q514,I514))),"REVISAR TE",IF(AND(ISNUMBER(Resumen!$B$3),IF(Q514&lt;&gt;"",Q514,I514)&lt;Resumen!$B$3),"REVISAR",IF(IF(Q514&lt;&gt;"",Q514,I514)&lt;TODAY(),"ATRASADO",IF(IF(Q514&lt;&gt;"",Q514,I514)-TODAY()&lt;=2,"POR VENCER","EN TIEMPO")))))</f>
        <v>Entregado</v>
      </c>
      <c r="N514" s="23" t="s">
        <v>1018</v>
      </c>
      <c r="P514" s="23" t="s">
        <v>1020</v>
      </c>
      <c r="Q514" s="28"/>
    </row>
    <row r="515" spans="1:17" ht="16.5" hidden="1" x14ac:dyDescent="0.3">
      <c r="A515" s="23" t="s">
        <v>1021</v>
      </c>
      <c r="B515" s="23" t="s">
        <v>58</v>
      </c>
      <c r="C515" s="23" t="s">
        <v>1022</v>
      </c>
      <c r="D515" s="24">
        <v>46203</v>
      </c>
      <c r="E515" s="25">
        <v>3</v>
      </c>
      <c r="F515" s="24">
        <v>46203</v>
      </c>
      <c r="G515" s="23" t="s">
        <v>83</v>
      </c>
      <c r="H515" s="26">
        <v>21</v>
      </c>
      <c r="I515" s="24">
        <f t="shared" si="24"/>
        <v>46224</v>
      </c>
      <c r="J515" s="26">
        <f t="shared" ca="1" si="25"/>
        <v>-80</v>
      </c>
      <c r="K515" s="26" t="str">
        <f t="shared" ca="1" si="26"/>
        <v/>
      </c>
      <c r="L515" s="27" t="s">
        <v>1567</v>
      </c>
      <c r="M515" s="26" t="str">
        <f ca="1">IF(L515&lt;&gt;"","Entregado",IF(NOT(ISNUMBER(IF(Q515&lt;&gt;"",Q515,I515))),"REVISAR TE",IF(AND(ISNUMBER(Resumen!$B$3),IF(Q515&lt;&gt;"",Q515,I515)&lt;Resumen!$B$3),"REVISAR",IF(IF(Q515&lt;&gt;"",Q515,I515)&lt;TODAY(),"ATRASADO",IF(IF(Q515&lt;&gt;"",Q515,I515)-TODAY()&lt;=2,"POR VENCER","EN TIEMPO")))))</f>
        <v>Entregado</v>
      </c>
      <c r="N515" s="23" t="s">
        <v>98</v>
      </c>
      <c r="P515" s="23" t="s">
        <v>1023</v>
      </c>
      <c r="Q515" s="28"/>
    </row>
    <row r="516" spans="1:17" ht="16.5" hidden="1" x14ac:dyDescent="0.3">
      <c r="A516" s="23" t="s">
        <v>1024</v>
      </c>
      <c r="B516" s="23" t="s">
        <v>57</v>
      </c>
      <c r="C516" s="23" t="s">
        <v>1025</v>
      </c>
      <c r="D516" s="24">
        <v>46206</v>
      </c>
      <c r="E516" s="25">
        <v>1</v>
      </c>
      <c r="F516" s="24">
        <v>46206</v>
      </c>
      <c r="G516" s="23" t="s">
        <v>88</v>
      </c>
      <c r="H516" s="26">
        <v>0</v>
      </c>
      <c r="I516" s="24">
        <f t="shared" si="24"/>
        <v>46206</v>
      </c>
      <c r="J516" s="26">
        <f t="shared" ca="1" si="25"/>
        <v>-98</v>
      </c>
      <c r="K516" s="26" t="str">
        <f t="shared" ca="1" si="26"/>
        <v/>
      </c>
      <c r="L516" s="27" t="s">
        <v>1567</v>
      </c>
      <c r="M516" s="26" t="str">
        <f ca="1">IF(L516&lt;&gt;"","Entregado",IF(NOT(ISNUMBER(IF(Q516&lt;&gt;"",Q516,I516))),"REVISAR TE",IF(AND(ISNUMBER(Resumen!$B$3),IF(Q516&lt;&gt;"",Q516,I516)&lt;Resumen!$B$3),"REVISAR",IF(IF(Q516&lt;&gt;"",Q516,I516)&lt;TODAY(),"ATRASADO",IF(IF(Q516&lt;&gt;"",Q516,I516)-TODAY()&lt;=2,"POR VENCER","EN TIEMPO")))))</f>
        <v>Entregado</v>
      </c>
      <c r="N516" s="23" t="s">
        <v>388</v>
      </c>
      <c r="P516" s="23" t="s">
        <v>1026</v>
      </c>
      <c r="Q516" s="28"/>
    </row>
    <row r="517" spans="1:17" ht="16.5" hidden="1" x14ac:dyDescent="0.3">
      <c r="A517" s="23" t="s">
        <v>1027</v>
      </c>
      <c r="B517" s="23" t="s">
        <v>52</v>
      </c>
      <c r="C517" s="23" t="s">
        <v>1028</v>
      </c>
      <c r="D517" s="24">
        <v>46209</v>
      </c>
      <c r="E517" s="25">
        <v>2</v>
      </c>
      <c r="F517" s="24">
        <v>46209</v>
      </c>
      <c r="G517" s="23" t="s">
        <v>83</v>
      </c>
      <c r="H517" s="26">
        <v>21</v>
      </c>
      <c r="I517" s="24">
        <f t="shared" si="24"/>
        <v>46230</v>
      </c>
      <c r="J517" s="26">
        <f t="shared" ca="1" si="25"/>
        <v>-74</v>
      </c>
      <c r="K517" s="26" t="str">
        <f t="shared" ca="1" si="26"/>
        <v/>
      </c>
      <c r="L517" s="27" t="s">
        <v>1567</v>
      </c>
      <c r="M517" s="26" t="str">
        <f ca="1">IF(L517&lt;&gt;"","Entregado",IF(NOT(ISNUMBER(IF(Q517&lt;&gt;"",Q517,I517))),"REVISAR TE",IF(AND(ISNUMBER(Resumen!$B$3),IF(Q517&lt;&gt;"",Q517,I517)&lt;Resumen!$B$3),"REVISAR",IF(IF(Q517&lt;&gt;"",Q517,I517)&lt;TODAY(),"ATRASADO",IF(IF(Q517&lt;&gt;"",Q517,I517)-TODAY()&lt;=2,"POR VENCER","EN TIEMPO")))))</f>
        <v>Entregado</v>
      </c>
      <c r="N517" s="23" t="s">
        <v>796</v>
      </c>
      <c r="P517" s="23" t="s">
        <v>1029</v>
      </c>
      <c r="Q517" s="28"/>
    </row>
    <row r="518" spans="1:17" ht="16.5" hidden="1" x14ac:dyDescent="0.3">
      <c r="A518" s="23" t="s">
        <v>1030</v>
      </c>
      <c r="B518" s="23" t="s">
        <v>52</v>
      </c>
      <c r="C518" s="23" t="s">
        <v>1031</v>
      </c>
      <c r="D518" s="24">
        <v>46209</v>
      </c>
      <c r="E518" s="25">
        <v>1</v>
      </c>
      <c r="F518" s="24">
        <v>46209</v>
      </c>
      <c r="G518" s="23" t="s">
        <v>180</v>
      </c>
      <c r="H518" s="26">
        <v>14</v>
      </c>
      <c r="I518" s="24">
        <f t="shared" si="24"/>
        <v>46223</v>
      </c>
      <c r="J518" s="26">
        <f t="shared" ca="1" si="25"/>
        <v>-81</v>
      </c>
      <c r="K518" s="26" t="str">
        <f t="shared" ca="1" si="26"/>
        <v/>
      </c>
      <c r="L518" s="27" t="s">
        <v>1567</v>
      </c>
      <c r="M518" s="26" t="str">
        <f ca="1">IF(L518&lt;&gt;"","Entregado",IF(NOT(ISNUMBER(IF(Q518&lt;&gt;"",Q518,I518))),"REVISAR TE",IF(AND(ISNUMBER(Resumen!$B$3),IF(Q518&lt;&gt;"",Q518,I518)&lt;Resumen!$B$3),"REVISAR",IF(IF(Q518&lt;&gt;"",Q518,I518)&lt;TODAY(),"ATRASADO",IF(IF(Q518&lt;&gt;"",Q518,I518)-TODAY()&lt;=2,"POR VENCER","EN TIEMPO")))))</f>
        <v>Entregado</v>
      </c>
      <c r="N518" s="23" t="s">
        <v>216</v>
      </c>
      <c r="P518" s="23" t="s">
        <v>1032</v>
      </c>
      <c r="Q518" s="28"/>
    </row>
    <row r="519" spans="1:17" ht="16.5" hidden="1" x14ac:dyDescent="0.3">
      <c r="A519" s="23" t="s">
        <v>1033</v>
      </c>
      <c r="B519" s="23" t="s">
        <v>52</v>
      </c>
      <c r="C519" s="23" t="s">
        <v>1034</v>
      </c>
      <c r="D519" s="24">
        <v>46209</v>
      </c>
      <c r="E519" s="25">
        <v>1</v>
      </c>
      <c r="F519" s="24">
        <v>46209</v>
      </c>
      <c r="G519" s="23" t="s">
        <v>196</v>
      </c>
      <c r="H519" s="26">
        <v>10</v>
      </c>
      <c r="I519" s="24">
        <f t="shared" si="24"/>
        <v>46219</v>
      </c>
      <c r="J519" s="26">
        <f t="shared" ca="1" si="25"/>
        <v>-85</v>
      </c>
      <c r="K519" s="26" t="str">
        <f t="shared" ca="1" si="26"/>
        <v/>
      </c>
      <c r="L519" s="27" t="s">
        <v>1567</v>
      </c>
      <c r="M519" s="26" t="str">
        <f ca="1">IF(L519&lt;&gt;"","Entregado",IF(NOT(ISNUMBER(IF(Q519&lt;&gt;"",Q519,I519))),"REVISAR TE",IF(AND(ISNUMBER(Resumen!$B$3),IF(Q519&lt;&gt;"",Q519,I519)&lt;Resumen!$B$3),"REVISAR",IF(IF(Q519&lt;&gt;"",Q519,I519)&lt;TODAY(),"ATRASADO",IF(IF(Q519&lt;&gt;"",Q519,I519)-TODAY()&lt;=2,"POR VENCER","EN TIEMPO")))))</f>
        <v>Entregado</v>
      </c>
      <c r="N519" s="23" t="s">
        <v>165</v>
      </c>
      <c r="P519" s="23" t="s">
        <v>1035</v>
      </c>
      <c r="Q519" s="28"/>
    </row>
    <row r="520" spans="1:17" ht="16.5" hidden="1" x14ac:dyDescent="0.3">
      <c r="A520" s="23" t="s">
        <v>1036</v>
      </c>
      <c r="B520" s="23" t="s">
        <v>52</v>
      </c>
      <c r="C520" s="23" t="s">
        <v>1037</v>
      </c>
      <c r="D520" s="24">
        <v>46209</v>
      </c>
      <c r="E520" s="25">
        <v>23</v>
      </c>
      <c r="F520" s="24">
        <v>46209</v>
      </c>
      <c r="G520" s="23" t="s">
        <v>83</v>
      </c>
      <c r="H520" s="26">
        <v>21</v>
      </c>
      <c r="I520" s="24">
        <f t="shared" si="24"/>
        <v>46230</v>
      </c>
      <c r="J520" s="26">
        <f t="shared" ca="1" si="25"/>
        <v>-74</v>
      </c>
      <c r="K520" s="26" t="str">
        <f t="shared" ca="1" si="26"/>
        <v/>
      </c>
      <c r="L520" s="27" t="s">
        <v>1567</v>
      </c>
      <c r="M520" s="26" t="str">
        <f ca="1">IF(L520&lt;&gt;"","Entregado",IF(NOT(ISNUMBER(IF(Q520&lt;&gt;"",Q520,I520))),"REVISAR TE",IF(AND(ISNUMBER(Resumen!$B$3),IF(Q520&lt;&gt;"",Q520,I520)&lt;Resumen!$B$3),"REVISAR",IF(IF(Q520&lt;&gt;"",Q520,I520)&lt;TODAY(),"ATRASADO",IF(IF(Q520&lt;&gt;"",Q520,I520)-TODAY()&lt;=2,"POR VENCER","EN TIEMPO")))))</f>
        <v>Entregado</v>
      </c>
      <c r="N520" s="23" t="s">
        <v>197</v>
      </c>
      <c r="P520" s="23" t="s">
        <v>1038</v>
      </c>
      <c r="Q520" s="28"/>
    </row>
    <row r="521" spans="1:17" ht="16.5" hidden="1" x14ac:dyDescent="0.3">
      <c r="A521" s="23" t="s">
        <v>1039</v>
      </c>
      <c r="B521" s="23" t="s">
        <v>57</v>
      </c>
      <c r="C521" s="23" t="s">
        <v>1040</v>
      </c>
      <c r="D521" s="24">
        <v>46209</v>
      </c>
      <c r="E521" s="25">
        <v>5</v>
      </c>
      <c r="F521" s="24">
        <v>46209</v>
      </c>
      <c r="G521" s="23" t="s">
        <v>204</v>
      </c>
      <c r="H521" s="26">
        <v>42</v>
      </c>
      <c r="I521" s="24">
        <f t="shared" ref="I521:I584" si="27">IF(AND(D521&lt;&gt;"",H521&lt;&gt;""),D521+H521,"")</f>
        <v>46251</v>
      </c>
      <c r="J521" s="26">
        <f t="shared" ca="1" si="25"/>
        <v>-53</v>
      </c>
      <c r="K521" s="26" t="str">
        <f t="shared" ca="1" si="26"/>
        <v/>
      </c>
      <c r="L521" s="27" t="s">
        <v>1567</v>
      </c>
      <c r="M521" s="26" t="str">
        <f ca="1">IF(L521&lt;&gt;"","Entregado",IF(NOT(ISNUMBER(IF(Q521&lt;&gt;"",Q521,I521))),"REVISAR TE",IF(AND(ISNUMBER(Resumen!$B$3),IF(Q521&lt;&gt;"",Q521,I521)&lt;Resumen!$B$3),"REVISAR",IF(IF(Q521&lt;&gt;"",Q521,I521)&lt;TODAY(),"ATRASADO",IF(IF(Q521&lt;&gt;"",Q521,I521)-TODAY()&lt;=2,"POR VENCER","EN TIEMPO")))))</f>
        <v>Entregado</v>
      </c>
      <c r="N521" s="23" t="s">
        <v>94</v>
      </c>
      <c r="P521" s="23" t="s">
        <v>1041</v>
      </c>
      <c r="Q521" s="28"/>
    </row>
    <row r="522" spans="1:17" ht="16.5" hidden="1" x14ac:dyDescent="0.3">
      <c r="A522" s="23" t="s">
        <v>1039</v>
      </c>
      <c r="B522" s="23" t="s">
        <v>57</v>
      </c>
      <c r="C522" s="23" t="s">
        <v>1042</v>
      </c>
      <c r="D522" s="24">
        <v>46209</v>
      </c>
      <c r="E522" s="25">
        <v>5</v>
      </c>
      <c r="F522" s="24">
        <v>46209</v>
      </c>
      <c r="G522" s="23" t="s">
        <v>204</v>
      </c>
      <c r="H522" s="26">
        <v>42</v>
      </c>
      <c r="I522" s="24">
        <f t="shared" si="27"/>
        <v>46251</v>
      </c>
      <c r="J522" s="26">
        <f t="shared" ca="1" si="25"/>
        <v>-53</v>
      </c>
      <c r="K522" s="26" t="str">
        <f t="shared" ca="1" si="26"/>
        <v/>
      </c>
      <c r="L522" s="27" t="s">
        <v>1567</v>
      </c>
      <c r="M522" s="26" t="str">
        <f ca="1">IF(L522&lt;&gt;"","Entregado",IF(NOT(ISNUMBER(IF(Q522&lt;&gt;"",Q522,I522))),"REVISAR TE",IF(AND(ISNUMBER(Resumen!$B$3),IF(Q522&lt;&gt;"",Q522,I522)&lt;Resumen!$B$3),"REVISAR",IF(IF(Q522&lt;&gt;"",Q522,I522)&lt;TODAY(),"ATRASADO",IF(IF(Q522&lt;&gt;"",Q522,I522)-TODAY()&lt;=2,"POR VENCER","EN TIEMPO")))))</f>
        <v>Entregado</v>
      </c>
      <c r="N522" s="23" t="s">
        <v>94</v>
      </c>
      <c r="P522" s="23" t="s">
        <v>1041</v>
      </c>
      <c r="Q522" s="28"/>
    </row>
    <row r="523" spans="1:17" ht="16.5" hidden="1" x14ac:dyDescent="0.3">
      <c r="A523" s="23" t="s">
        <v>1039</v>
      </c>
      <c r="B523" s="23" t="s">
        <v>57</v>
      </c>
      <c r="C523" s="23" t="s">
        <v>1043</v>
      </c>
      <c r="D523" s="24">
        <v>46209</v>
      </c>
      <c r="E523" s="25">
        <v>69</v>
      </c>
      <c r="F523" s="24">
        <v>46209</v>
      </c>
      <c r="G523" s="23" t="s">
        <v>204</v>
      </c>
      <c r="H523" s="26">
        <v>42</v>
      </c>
      <c r="I523" s="24">
        <f t="shared" si="27"/>
        <v>46251</v>
      </c>
      <c r="J523" s="26">
        <f t="shared" ca="1" si="25"/>
        <v>-53</v>
      </c>
      <c r="K523" s="26" t="str">
        <f t="shared" ca="1" si="26"/>
        <v/>
      </c>
      <c r="L523" s="27" t="s">
        <v>1567</v>
      </c>
      <c r="M523" s="26" t="str">
        <f ca="1">IF(L523&lt;&gt;"","Entregado",IF(NOT(ISNUMBER(IF(Q523&lt;&gt;"",Q523,I523))),"REVISAR TE",IF(AND(ISNUMBER(Resumen!$B$3),IF(Q523&lt;&gt;"",Q523,I523)&lt;Resumen!$B$3),"REVISAR",IF(IF(Q523&lt;&gt;"",Q523,I523)&lt;TODAY(),"ATRASADO",IF(IF(Q523&lt;&gt;"",Q523,I523)-TODAY()&lt;=2,"POR VENCER","EN TIEMPO")))))</f>
        <v>Entregado</v>
      </c>
      <c r="N523" s="23" t="s">
        <v>94</v>
      </c>
      <c r="P523" s="23" t="s">
        <v>1041</v>
      </c>
      <c r="Q523" s="28"/>
    </row>
    <row r="524" spans="1:17" ht="16.5" hidden="1" x14ac:dyDescent="0.3">
      <c r="A524" s="23" t="s">
        <v>1039</v>
      </c>
      <c r="B524" s="23" t="s">
        <v>57</v>
      </c>
      <c r="C524" s="23" t="s">
        <v>1044</v>
      </c>
      <c r="D524" s="24">
        <v>46209</v>
      </c>
      <c r="E524" s="25">
        <v>69</v>
      </c>
      <c r="F524" s="24">
        <v>46209</v>
      </c>
      <c r="G524" s="23" t="s">
        <v>204</v>
      </c>
      <c r="H524" s="26">
        <v>42</v>
      </c>
      <c r="I524" s="24">
        <f t="shared" si="27"/>
        <v>46251</v>
      </c>
      <c r="J524" s="26">
        <f t="shared" ca="1" si="25"/>
        <v>-53</v>
      </c>
      <c r="K524" s="26" t="str">
        <f t="shared" ca="1" si="26"/>
        <v/>
      </c>
      <c r="L524" s="27" t="s">
        <v>1567</v>
      </c>
      <c r="M524" s="26" t="str">
        <f ca="1">IF(L524&lt;&gt;"","Entregado",IF(NOT(ISNUMBER(IF(Q524&lt;&gt;"",Q524,I524))),"REVISAR TE",IF(AND(ISNUMBER(Resumen!$B$3),IF(Q524&lt;&gt;"",Q524,I524)&lt;Resumen!$B$3),"REVISAR",IF(IF(Q524&lt;&gt;"",Q524,I524)&lt;TODAY(),"ATRASADO",IF(IF(Q524&lt;&gt;"",Q524,I524)-TODAY()&lt;=2,"POR VENCER","EN TIEMPO")))))</f>
        <v>Entregado</v>
      </c>
      <c r="N524" s="23" t="s">
        <v>94</v>
      </c>
      <c r="P524" s="23" t="s">
        <v>1041</v>
      </c>
      <c r="Q524" s="28"/>
    </row>
    <row r="525" spans="1:17" ht="16.5" hidden="1" x14ac:dyDescent="0.3">
      <c r="A525" s="23" t="s">
        <v>1045</v>
      </c>
      <c r="B525" s="23" t="s">
        <v>52</v>
      </c>
      <c r="C525" s="23" t="s">
        <v>1046</v>
      </c>
      <c r="D525" s="24">
        <v>46211</v>
      </c>
      <c r="E525" s="25">
        <v>50</v>
      </c>
      <c r="F525" s="24">
        <v>46211</v>
      </c>
      <c r="G525" s="23" t="s">
        <v>93</v>
      </c>
      <c r="H525" s="26">
        <v>28</v>
      </c>
      <c r="I525" s="24">
        <f t="shared" si="27"/>
        <v>46239</v>
      </c>
      <c r="J525" s="26">
        <f t="shared" ca="1" si="25"/>
        <v>-65</v>
      </c>
      <c r="K525" s="26" t="str">
        <f t="shared" ca="1" si="26"/>
        <v/>
      </c>
      <c r="L525" s="27" t="s">
        <v>1567</v>
      </c>
      <c r="M525" s="26" t="str">
        <f ca="1">IF(L525&lt;&gt;"","Entregado",IF(NOT(ISNUMBER(IF(Q525&lt;&gt;"",Q525,I525))),"REVISAR TE",IF(AND(ISNUMBER(Resumen!$B$3),IF(Q525&lt;&gt;"",Q525,I525)&lt;Resumen!$B$3),"REVISAR",IF(IF(Q525&lt;&gt;"",Q525,I525)&lt;TODAY(),"ATRASADO",IF(IF(Q525&lt;&gt;"",Q525,I525)-TODAY()&lt;=2,"POR VENCER","EN TIEMPO")))))</f>
        <v>Entregado</v>
      </c>
      <c r="N525" s="23" t="s">
        <v>197</v>
      </c>
      <c r="P525" s="23" t="s">
        <v>1047</v>
      </c>
      <c r="Q525" s="28"/>
    </row>
    <row r="526" spans="1:17" ht="16.5" hidden="1" x14ac:dyDescent="0.3">
      <c r="A526" s="23" t="s">
        <v>1048</v>
      </c>
      <c r="B526" s="23" t="s">
        <v>53</v>
      </c>
      <c r="C526" s="23" t="s">
        <v>1049</v>
      </c>
      <c r="D526" s="24">
        <v>46211</v>
      </c>
      <c r="E526" s="25">
        <v>5</v>
      </c>
      <c r="F526" s="24">
        <v>46211</v>
      </c>
      <c r="G526" s="23" t="s">
        <v>83</v>
      </c>
      <c r="H526" s="26">
        <v>21</v>
      </c>
      <c r="I526" s="24">
        <f t="shared" si="27"/>
        <v>46232</v>
      </c>
      <c r="J526" s="26">
        <f t="shared" ca="1" si="25"/>
        <v>-72</v>
      </c>
      <c r="K526" s="26" t="str">
        <f t="shared" ca="1" si="26"/>
        <v/>
      </c>
      <c r="L526" s="27" t="s">
        <v>1567</v>
      </c>
      <c r="M526" s="26" t="str">
        <f ca="1">IF(L526&lt;&gt;"","Entregado",IF(NOT(ISNUMBER(IF(Q526&lt;&gt;"",Q526,I526))),"REVISAR TE",IF(AND(ISNUMBER(Resumen!$B$3),IF(Q526&lt;&gt;"",Q526,I526)&lt;Resumen!$B$3),"REVISAR",IF(IF(Q526&lt;&gt;"",Q526,I526)&lt;TODAY(),"ATRASADO",IF(IF(Q526&lt;&gt;"",Q526,I526)-TODAY()&lt;=2,"POR VENCER","EN TIEMPO")))))</f>
        <v>Entregado</v>
      </c>
      <c r="N526" s="23" t="s">
        <v>899</v>
      </c>
      <c r="P526" s="23" t="s">
        <v>1050</v>
      </c>
      <c r="Q526" s="28"/>
    </row>
    <row r="527" spans="1:17" ht="16.5" hidden="1" x14ac:dyDescent="0.3">
      <c r="A527" s="23" t="s">
        <v>1048</v>
      </c>
      <c r="B527" s="23" t="s">
        <v>53</v>
      </c>
      <c r="C527" s="23" t="s">
        <v>1051</v>
      </c>
      <c r="D527" s="24">
        <v>46211</v>
      </c>
      <c r="E527" s="25">
        <v>1</v>
      </c>
      <c r="F527" s="24">
        <v>46211</v>
      </c>
      <c r="G527" s="23" t="s">
        <v>83</v>
      </c>
      <c r="H527" s="26">
        <v>21</v>
      </c>
      <c r="I527" s="24">
        <f t="shared" si="27"/>
        <v>46232</v>
      </c>
      <c r="J527" s="26">
        <f t="shared" ca="1" si="25"/>
        <v>-72</v>
      </c>
      <c r="K527" s="26" t="str">
        <f t="shared" ca="1" si="26"/>
        <v/>
      </c>
      <c r="L527" s="27" t="s">
        <v>1567</v>
      </c>
      <c r="M527" s="26" t="str">
        <f ca="1">IF(L527&lt;&gt;"","Entregado",IF(NOT(ISNUMBER(IF(Q527&lt;&gt;"",Q527,I527))),"REVISAR TE",IF(AND(ISNUMBER(Resumen!$B$3),IF(Q527&lt;&gt;"",Q527,I527)&lt;Resumen!$B$3),"REVISAR",IF(IF(Q527&lt;&gt;"",Q527,I527)&lt;TODAY(),"ATRASADO",IF(IF(Q527&lt;&gt;"",Q527,I527)-TODAY()&lt;=2,"POR VENCER","EN TIEMPO")))))</f>
        <v>Entregado</v>
      </c>
      <c r="N527" s="23" t="s">
        <v>920</v>
      </c>
      <c r="P527" s="23" t="s">
        <v>1050</v>
      </c>
      <c r="Q527" s="28"/>
    </row>
    <row r="528" spans="1:17" ht="16.5" hidden="1" x14ac:dyDescent="0.3">
      <c r="A528" s="23" t="s">
        <v>1048</v>
      </c>
      <c r="B528" s="23" t="s">
        <v>53</v>
      </c>
      <c r="C528" s="23" t="s">
        <v>1051</v>
      </c>
      <c r="D528" s="24">
        <v>46211</v>
      </c>
      <c r="E528" s="25">
        <v>1</v>
      </c>
      <c r="F528" s="24">
        <v>46211</v>
      </c>
      <c r="G528" s="23" t="s">
        <v>83</v>
      </c>
      <c r="H528" s="26">
        <v>21</v>
      </c>
      <c r="I528" s="24">
        <f t="shared" si="27"/>
        <v>46232</v>
      </c>
      <c r="J528" s="26">
        <f t="shared" ca="1" si="25"/>
        <v>-72</v>
      </c>
      <c r="K528" s="26" t="str">
        <f t="shared" ca="1" si="26"/>
        <v/>
      </c>
      <c r="L528" s="27" t="s">
        <v>1567</v>
      </c>
      <c r="M528" s="26" t="str">
        <f ca="1">IF(L528&lt;&gt;"","Entregado",IF(NOT(ISNUMBER(IF(Q528&lt;&gt;"",Q528,I528))),"REVISAR TE",IF(AND(ISNUMBER(Resumen!$B$3),IF(Q528&lt;&gt;"",Q528,I528)&lt;Resumen!$B$3),"REVISAR",IF(IF(Q528&lt;&gt;"",Q528,I528)&lt;TODAY(),"ATRASADO",IF(IF(Q528&lt;&gt;"",Q528,I528)-TODAY()&lt;=2,"POR VENCER","EN TIEMPO")))))</f>
        <v>Entregado</v>
      </c>
      <c r="N528" s="23" t="s">
        <v>922</v>
      </c>
      <c r="P528" s="23" t="s">
        <v>1050</v>
      </c>
      <c r="Q528" s="28"/>
    </row>
    <row r="529" spans="1:17" ht="16.5" hidden="1" x14ac:dyDescent="0.3">
      <c r="A529" s="23" t="s">
        <v>1048</v>
      </c>
      <c r="B529" s="23" t="s">
        <v>53</v>
      </c>
      <c r="C529" s="23" t="s">
        <v>1052</v>
      </c>
      <c r="D529" s="24">
        <v>46211</v>
      </c>
      <c r="E529" s="25">
        <v>5</v>
      </c>
      <c r="F529" s="24">
        <v>46211</v>
      </c>
      <c r="G529" s="23" t="s">
        <v>83</v>
      </c>
      <c r="H529" s="26">
        <v>21</v>
      </c>
      <c r="I529" s="24">
        <f t="shared" si="27"/>
        <v>46232</v>
      </c>
      <c r="J529" s="26">
        <f t="shared" ca="1" si="25"/>
        <v>-72</v>
      </c>
      <c r="K529" s="26" t="str">
        <f t="shared" ca="1" si="26"/>
        <v/>
      </c>
      <c r="L529" s="27" t="s">
        <v>1567</v>
      </c>
      <c r="M529" s="26" t="str">
        <f ca="1">IF(L529&lt;&gt;"","Entregado",IF(NOT(ISNUMBER(IF(Q529&lt;&gt;"",Q529,I529))),"REVISAR TE",IF(AND(ISNUMBER(Resumen!$B$3),IF(Q529&lt;&gt;"",Q529,I529)&lt;Resumen!$B$3),"REVISAR",IF(IF(Q529&lt;&gt;"",Q529,I529)&lt;TODAY(),"ATRASADO",IF(IF(Q529&lt;&gt;"",Q529,I529)-TODAY()&lt;=2,"POR VENCER","EN TIEMPO")))))</f>
        <v>Entregado</v>
      </c>
      <c r="N529" s="23" t="s">
        <v>902</v>
      </c>
      <c r="P529" s="23" t="s">
        <v>1050</v>
      </c>
      <c r="Q529" s="28"/>
    </row>
    <row r="530" spans="1:17" ht="16.5" hidden="1" x14ac:dyDescent="0.3">
      <c r="A530" s="23" t="s">
        <v>1048</v>
      </c>
      <c r="B530" s="23" t="s">
        <v>53</v>
      </c>
      <c r="C530" s="23" t="s">
        <v>1053</v>
      </c>
      <c r="D530" s="24">
        <v>46211</v>
      </c>
      <c r="E530" s="25">
        <v>1</v>
      </c>
      <c r="F530" s="24">
        <v>46211</v>
      </c>
      <c r="G530" s="23" t="s">
        <v>83</v>
      </c>
      <c r="H530" s="26">
        <v>21</v>
      </c>
      <c r="I530" s="24">
        <f t="shared" si="27"/>
        <v>46232</v>
      </c>
      <c r="J530" s="26">
        <f t="shared" ca="1" si="25"/>
        <v>-72</v>
      </c>
      <c r="K530" s="26" t="str">
        <f t="shared" ca="1" si="26"/>
        <v/>
      </c>
      <c r="L530" s="27" t="s">
        <v>1567</v>
      </c>
      <c r="M530" s="26" t="str">
        <f ca="1">IF(L530&lt;&gt;"","Entregado",IF(NOT(ISNUMBER(IF(Q530&lt;&gt;"",Q530,I530))),"REVISAR TE",IF(AND(ISNUMBER(Resumen!$B$3),IF(Q530&lt;&gt;"",Q530,I530)&lt;Resumen!$B$3),"REVISAR",IF(IF(Q530&lt;&gt;"",Q530,I530)&lt;TODAY(),"ATRASADO",IF(IF(Q530&lt;&gt;"",Q530,I530)-TODAY()&lt;=2,"POR VENCER","EN TIEMPO")))))</f>
        <v>Entregado</v>
      </c>
      <c r="N530" s="23" t="s">
        <v>925</v>
      </c>
      <c r="P530" s="23" t="s">
        <v>1050</v>
      </c>
      <c r="Q530" s="28"/>
    </row>
    <row r="531" spans="1:17" ht="16.5" hidden="1" x14ac:dyDescent="0.3">
      <c r="A531" s="23" t="s">
        <v>1048</v>
      </c>
      <c r="B531" s="23" t="s">
        <v>53</v>
      </c>
      <c r="C531" s="23" t="s">
        <v>1054</v>
      </c>
      <c r="D531" s="24">
        <v>46211</v>
      </c>
      <c r="E531" s="25">
        <v>1</v>
      </c>
      <c r="F531" s="24">
        <v>46211</v>
      </c>
      <c r="G531" s="23" t="s">
        <v>83</v>
      </c>
      <c r="H531" s="26">
        <v>21</v>
      </c>
      <c r="I531" s="24">
        <f t="shared" si="27"/>
        <v>46232</v>
      </c>
      <c r="J531" s="26">
        <f t="shared" ca="1" si="25"/>
        <v>-72</v>
      </c>
      <c r="K531" s="26" t="str">
        <f t="shared" ca="1" si="26"/>
        <v/>
      </c>
      <c r="L531" s="27" t="s">
        <v>1567</v>
      </c>
      <c r="M531" s="26" t="str">
        <f ca="1">IF(L531&lt;&gt;"","Entregado",IF(NOT(ISNUMBER(IF(Q531&lt;&gt;"",Q531,I531))),"REVISAR TE",IF(AND(ISNUMBER(Resumen!$B$3),IF(Q531&lt;&gt;"",Q531,I531)&lt;Resumen!$B$3),"REVISAR",IF(IF(Q531&lt;&gt;"",Q531,I531)&lt;TODAY(),"ATRASADO",IF(IF(Q531&lt;&gt;"",Q531,I531)-TODAY()&lt;=2,"POR VENCER","EN TIEMPO")))))</f>
        <v>Entregado</v>
      </c>
      <c r="N531" s="23" t="s">
        <v>927</v>
      </c>
      <c r="P531" s="23" t="s">
        <v>1050</v>
      </c>
      <c r="Q531" s="28"/>
    </row>
    <row r="532" spans="1:17" ht="16.5" hidden="1" x14ac:dyDescent="0.3">
      <c r="A532" s="23" t="s">
        <v>1048</v>
      </c>
      <c r="B532" s="23" t="s">
        <v>53</v>
      </c>
      <c r="C532" s="23" t="s">
        <v>1055</v>
      </c>
      <c r="D532" s="24">
        <v>46211</v>
      </c>
      <c r="E532" s="25">
        <v>1</v>
      </c>
      <c r="F532" s="24">
        <v>46211</v>
      </c>
      <c r="G532" s="23" t="s">
        <v>83</v>
      </c>
      <c r="H532" s="26">
        <v>21</v>
      </c>
      <c r="I532" s="24">
        <f t="shared" si="27"/>
        <v>46232</v>
      </c>
      <c r="J532" s="26">
        <f t="shared" ca="1" si="25"/>
        <v>-72</v>
      </c>
      <c r="K532" s="26" t="str">
        <f t="shared" ca="1" si="26"/>
        <v/>
      </c>
      <c r="L532" s="27" t="s">
        <v>1567</v>
      </c>
      <c r="M532" s="26" t="str">
        <f ca="1">IF(L532&lt;&gt;"","Entregado",IF(NOT(ISNUMBER(IF(Q532&lt;&gt;"",Q532,I532))),"REVISAR TE",IF(AND(ISNUMBER(Resumen!$B$3),IF(Q532&lt;&gt;"",Q532,I532)&lt;Resumen!$B$3),"REVISAR",IF(IF(Q532&lt;&gt;"",Q532,I532)&lt;TODAY(),"ATRASADO",IF(IF(Q532&lt;&gt;"",Q532,I532)-TODAY()&lt;=2,"POR VENCER","EN TIEMPO")))))</f>
        <v>Entregado</v>
      </c>
      <c r="N532" s="23" t="s">
        <v>929</v>
      </c>
      <c r="P532" s="23" t="s">
        <v>1050</v>
      </c>
      <c r="Q532" s="28"/>
    </row>
    <row r="533" spans="1:17" ht="16.5" hidden="1" x14ac:dyDescent="0.3">
      <c r="A533" s="23" t="s">
        <v>1056</v>
      </c>
      <c r="B533" s="23"/>
      <c r="C533" s="23" t="s">
        <v>1057</v>
      </c>
      <c r="D533" s="24">
        <v>46212</v>
      </c>
      <c r="E533" s="25">
        <v>56</v>
      </c>
      <c r="F533" s="24">
        <v>46212</v>
      </c>
      <c r="G533" s="23" t="s">
        <v>137</v>
      </c>
      <c r="H533" s="26">
        <v>28</v>
      </c>
      <c r="I533" s="24">
        <f t="shared" si="27"/>
        <v>46240</v>
      </c>
      <c r="J533" s="26">
        <f t="shared" ca="1" si="25"/>
        <v>-64</v>
      </c>
      <c r="K533" s="26" t="str">
        <f t="shared" ca="1" si="26"/>
        <v/>
      </c>
      <c r="L533" s="27" t="s">
        <v>1567</v>
      </c>
      <c r="M533" s="26" t="str">
        <f ca="1">IF(L533&lt;&gt;"","Entregado",IF(NOT(ISNUMBER(IF(Q533&lt;&gt;"",Q533,I533))),"REVISAR TE",IF(AND(ISNUMBER(Resumen!$B$3),IF(Q533&lt;&gt;"",Q533,I533)&lt;Resumen!$B$3),"REVISAR",IF(IF(Q533&lt;&gt;"",Q533,I533)&lt;TODAY(),"ATRASADO",IF(IF(Q533&lt;&gt;"",Q533,I533)-TODAY()&lt;=2,"POR VENCER","EN TIEMPO")))))</f>
        <v>Entregado</v>
      </c>
      <c r="N533" s="23" t="s">
        <v>94</v>
      </c>
      <c r="P533" s="23" t="s">
        <v>1058</v>
      </c>
      <c r="Q533" s="28"/>
    </row>
    <row r="534" spans="1:17" ht="16.5" hidden="1" x14ac:dyDescent="0.3">
      <c r="A534" s="23" t="s">
        <v>1056</v>
      </c>
      <c r="B534" s="23"/>
      <c r="C534" s="23" t="s">
        <v>1059</v>
      </c>
      <c r="D534" s="24">
        <v>46212</v>
      </c>
      <c r="E534" s="25">
        <v>56</v>
      </c>
      <c r="F534" s="24">
        <v>46212</v>
      </c>
      <c r="G534" s="23" t="s">
        <v>137</v>
      </c>
      <c r="H534" s="26">
        <v>28</v>
      </c>
      <c r="I534" s="24">
        <f t="shared" si="27"/>
        <v>46240</v>
      </c>
      <c r="J534" s="26">
        <f t="shared" ca="1" si="25"/>
        <v>-64</v>
      </c>
      <c r="K534" s="26" t="str">
        <f t="shared" ca="1" si="26"/>
        <v/>
      </c>
      <c r="L534" s="27" t="s">
        <v>1567</v>
      </c>
      <c r="M534" s="26" t="str">
        <f ca="1">IF(L534&lt;&gt;"","Entregado",IF(NOT(ISNUMBER(IF(Q534&lt;&gt;"",Q534,I534))),"REVISAR TE",IF(AND(ISNUMBER(Resumen!$B$3),IF(Q534&lt;&gt;"",Q534,I534)&lt;Resumen!$B$3),"REVISAR",IF(IF(Q534&lt;&gt;"",Q534,I534)&lt;TODAY(),"ATRASADO",IF(IF(Q534&lt;&gt;"",Q534,I534)-TODAY()&lt;=2,"POR VENCER","EN TIEMPO")))))</f>
        <v>Entregado</v>
      </c>
      <c r="N534" s="23" t="s">
        <v>94</v>
      </c>
      <c r="P534" s="23" t="s">
        <v>1058</v>
      </c>
      <c r="Q534" s="28"/>
    </row>
    <row r="535" spans="1:17" ht="16.5" hidden="1" x14ac:dyDescent="0.3">
      <c r="A535" s="23" t="s">
        <v>1056</v>
      </c>
      <c r="B535" s="23"/>
      <c r="C535" s="23" t="s">
        <v>1060</v>
      </c>
      <c r="D535" s="24">
        <v>46212</v>
      </c>
      <c r="E535" s="25">
        <v>56</v>
      </c>
      <c r="F535" s="24">
        <v>46212</v>
      </c>
      <c r="G535" s="23" t="s">
        <v>137</v>
      </c>
      <c r="H535" s="26">
        <v>28</v>
      </c>
      <c r="I535" s="24">
        <f t="shared" si="27"/>
        <v>46240</v>
      </c>
      <c r="J535" s="26">
        <f t="shared" ca="1" si="25"/>
        <v>-64</v>
      </c>
      <c r="K535" s="26" t="str">
        <f t="shared" ca="1" si="26"/>
        <v/>
      </c>
      <c r="L535" s="27" t="s">
        <v>1567</v>
      </c>
      <c r="M535" s="26" t="str">
        <f ca="1">IF(L535&lt;&gt;"","Entregado",IF(NOT(ISNUMBER(IF(Q535&lt;&gt;"",Q535,I535))),"REVISAR TE",IF(AND(ISNUMBER(Resumen!$B$3),IF(Q535&lt;&gt;"",Q535,I535)&lt;Resumen!$B$3),"REVISAR",IF(IF(Q535&lt;&gt;"",Q535,I535)&lt;TODAY(),"ATRASADO",IF(IF(Q535&lt;&gt;"",Q535,I535)-TODAY()&lt;=2,"POR VENCER","EN TIEMPO")))))</f>
        <v>Entregado</v>
      </c>
      <c r="N535" s="23" t="s">
        <v>94</v>
      </c>
      <c r="P535" s="23" t="s">
        <v>1058</v>
      </c>
      <c r="Q535" s="28"/>
    </row>
    <row r="536" spans="1:17" ht="16.5" hidden="1" x14ac:dyDescent="0.3">
      <c r="A536" s="23" t="s">
        <v>1056</v>
      </c>
      <c r="B536" s="23"/>
      <c r="C536" s="23" t="s">
        <v>1061</v>
      </c>
      <c r="D536" s="24">
        <v>46212</v>
      </c>
      <c r="E536" s="25">
        <v>56</v>
      </c>
      <c r="F536" s="24">
        <v>46212</v>
      </c>
      <c r="G536" s="23" t="s">
        <v>137</v>
      </c>
      <c r="H536" s="26">
        <v>28</v>
      </c>
      <c r="I536" s="24">
        <f t="shared" si="27"/>
        <v>46240</v>
      </c>
      <c r="J536" s="26">
        <f t="shared" ca="1" si="25"/>
        <v>-64</v>
      </c>
      <c r="K536" s="26" t="str">
        <f t="shared" ca="1" si="26"/>
        <v/>
      </c>
      <c r="L536" s="27" t="s">
        <v>1567</v>
      </c>
      <c r="M536" s="26" t="str">
        <f ca="1">IF(L536&lt;&gt;"","Entregado",IF(NOT(ISNUMBER(IF(Q536&lt;&gt;"",Q536,I536))),"REVISAR TE",IF(AND(ISNUMBER(Resumen!$B$3),IF(Q536&lt;&gt;"",Q536,I536)&lt;Resumen!$B$3),"REVISAR",IF(IF(Q536&lt;&gt;"",Q536,I536)&lt;TODAY(),"ATRASADO",IF(IF(Q536&lt;&gt;"",Q536,I536)-TODAY()&lt;=2,"POR VENCER","EN TIEMPO")))))</f>
        <v>Entregado</v>
      </c>
      <c r="N536" s="23" t="s">
        <v>94</v>
      </c>
      <c r="P536" s="23" t="s">
        <v>1058</v>
      </c>
      <c r="Q536" s="28"/>
    </row>
    <row r="537" spans="1:17" ht="16.5" hidden="1" x14ac:dyDescent="0.3">
      <c r="A537" s="23" t="s">
        <v>1056</v>
      </c>
      <c r="B537" s="23"/>
      <c r="C537" s="23" t="s">
        <v>1062</v>
      </c>
      <c r="D537" s="24">
        <v>46212</v>
      </c>
      <c r="E537" s="25">
        <v>1</v>
      </c>
      <c r="F537" s="24">
        <v>46212</v>
      </c>
      <c r="G537" s="23" t="s">
        <v>137</v>
      </c>
      <c r="H537" s="26">
        <v>28</v>
      </c>
      <c r="I537" s="24">
        <f t="shared" si="27"/>
        <v>46240</v>
      </c>
      <c r="J537" s="26">
        <f t="shared" ca="1" si="25"/>
        <v>-64</v>
      </c>
      <c r="K537" s="26" t="str">
        <f t="shared" ca="1" si="26"/>
        <v/>
      </c>
      <c r="L537" s="27" t="s">
        <v>1567</v>
      </c>
      <c r="M537" s="26" t="str">
        <f ca="1">IF(L537&lt;&gt;"","Entregado",IF(NOT(ISNUMBER(IF(Q537&lt;&gt;"",Q537,I537))),"REVISAR TE",IF(AND(ISNUMBER(Resumen!$B$3),IF(Q537&lt;&gt;"",Q537,I537)&lt;Resumen!$B$3),"REVISAR",IF(IF(Q537&lt;&gt;"",Q537,I537)&lt;TODAY(),"ATRASADO",IF(IF(Q537&lt;&gt;"",Q537,I537)-TODAY()&lt;=2,"POR VENCER","EN TIEMPO")))))</f>
        <v>Entregado</v>
      </c>
      <c r="N537" s="23" t="s">
        <v>245</v>
      </c>
      <c r="P537" s="23" t="s">
        <v>1058</v>
      </c>
      <c r="Q537" s="28"/>
    </row>
    <row r="538" spans="1:17" ht="16.5" hidden="1" x14ac:dyDescent="0.3">
      <c r="A538" s="23" t="s">
        <v>1056</v>
      </c>
      <c r="B538" s="23"/>
      <c r="C538" s="23" t="s">
        <v>1063</v>
      </c>
      <c r="D538" s="24">
        <v>46212</v>
      </c>
      <c r="E538" s="25">
        <v>1</v>
      </c>
      <c r="F538" s="24">
        <v>46212</v>
      </c>
      <c r="G538" s="23" t="s">
        <v>137</v>
      </c>
      <c r="H538" s="26">
        <v>28</v>
      </c>
      <c r="I538" s="24">
        <f t="shared" si="27"/>
        <v>46240</v>
      </c>
      <c r="J538" s="26">
        <f t="shared" ca="1" si="25"/>
        <v>-64</v>
      </c>
      <c r="K538" s="26" t="str">
        <f t="shared" ca="1" si="26"/>
        <v/>
      </c>
      <c r="L538" s="27" t="s">
        <v>1567</v>
      </c>
      <c r="M538" s="26" t="str">
        <f ca="1">IF(L538&lt;&gt;"","Entregado",IF(NOT(ISNUMBER(IF(Q538&lt;&gt;"",Q538,I538))),"REVISAR TE",IF(AND(ISNUMBER(Resumen!$B$3),IF(Q538&lt;&gt;"",Q538,I538)&lt;Resumen!$B$3),"REVISAR",IF(IF(Q538&lt;&gt;"",Q538,I538)&lt;TODAY(),"ATRASADO",IF(IF(Q538&lt;&gt;"",Q538,I538)-TODAY()&lt;=2,"POR VENCER","EN TIEMPO")))))</f>
        <v>Entregado</v>
      </c>
      <c r="N538" s="23" t="s">
        <v>245</v>
      </c>
      <c r="P538" s="23" t="s">
        <v>1058</v>
      </c>
      <c r="Q538" s="28"/>
    </row>
    <row r="539" spans="1:17" ht="16.5" hidden="1" x14ac:dyDescent="0.3">
      <c r="A539" s="23" t="s">
        <v>1056</v>
      </c>
      <c r="B539" s="23"/>
      <c r="C539" s="23" t="s">
        <v>1064</v>
      </c>
      <c r="D539" s="24">
        <v>46212</v>
      </c>
      <c r="E539" s="25">
        <v>1</v>
      </c>
      <c r="F539" s="24">
        <v>46212</v>
      </c>
      <c r="G539" s="23" t="s">
        <v>137</v>
      </c>
      <c r="H539" s="26">
        <v>28</v>
      </c>
      <c r="I539" s="24">
        <f t="shared" si="27"/>
        <v>46240</v>
      </c>
      <c r="J539" s="26">
        <f t="shared" ca="1" si="25"/>
        <v>-64</v>
      </c>
      <c r="K539" s="26" t="str">
        <f t="shared" ca="1" si="26"/>
        <v/>
      </c>
      <c r="L539" s="27" t="s">
        <v>1567</v>
      </c>
      <c r="M539" s="26" t="str">
        <f ca="1">IF(L539&lt;&gt;"","Entregado",IF(NOT(ISNUMBER(IF(Q539&lt;&gt;"",Q539,I539))),"REVISAR TE",IF(AND(ISNUMBER(Resumen!$B$3),IF(Q539&lt;&gt;"",Q539,I539)&lt;Resumen!$B$3),"REVISAR",IF(IF(Q539&lt;&gt;"",Q539,I539)&lt;TODAY(),"ATRASADO",IF(IF(Q539&lt;&gt;"",Q539,I539)-TODAY()&lt;=2,"POR VENCER","EN TIEMPO")))))</f>
        <v>Entregado</v>
      </c>
      <c r="N539" s="23" t="s">
        <v>245</v>
      </c>
      <c r="P539" s="23" t="s">
        <v>1058</v>
      </c>
      <c r="Q539" s="28"/>
    </row>
    <row r="540" spans="1:17" ht="16.5" hidden="1" x14ac:dyDescent="0.3">
      <c r="A540" s="23" t="s">
        <v>1056</v>
      </c>
      <c r="B540" s="23"/>
      <c r="C540" s="23" t="s">
        <v>1065</v>
      </c>
      <c r="D540" s="24">
        <v>46212</v>
      </c>
      <c r="E540" s="25">
        <v>1</v>
      </c>
      <c r="F540" s="24">
        <v>46212</v>
      </c>
      <c r="G540" s="23" t="s">
        <v>137</v>
      </c>
      <c r="H540" s="26">
        <v>28</v>
      </c>
      <c r="I540" s="24">
        <f t="shared" si="27"/>
        <v>46240</v>
      </c>
      <c r="J540" s="26">
        <f t="shared" ca="1" si="25"/>
        <v>-64</v>
      </c>
      <c r="K540" s="26" t="str">
        <f t="shared" ca="1" si="26"/>
        <v/>
      </c>
      <c r="L540" s="27" t="s">
        <v>1567</v>
      </c>
      <c r="M540" s="26" t="str">
        <f ca="1">IF(L540&lt;&gt;"","Entregado",IF(NOT(ISNUMBER(IF(Q540&lt;&gt;"",Q540,I540))),"REVISAR TE",IF(AND(ISNUMBER(Resumen!$B$3),IF(Q540&lt;&gt;"",Q540,I540)&lt;Resumen!$B$3),"REVISAR",IF(IF(Q540&lt;&gt;"",Q540,I540)&lt;TODAY(),"ATRASADO",IF(IF(Q540&lt;&gt;"",Q540,I540)-TODAY()&lt;=2,"POR VENCER","EN TIEMPO")))))</f>
        <v>Entregado</v>
      </c>
      <c r="N540" s="23" t="s">
        <v>245</v>
      </c>
      <c r="P540" s="23" t="s">
        <v>1058</v>
      </c>
      <c r="Q540" s="28"/>
    </row>
    <row r="541" spans="1:17" ht="16.5" hidden="1" x14ac:dyDescent="0.3">
      <c r="A541" s="23" t="s">
        <v>1066</v>
      </c>
      <c r="B541" s="23" t="s">
        <v>59</v>
      </c>
      <c r="C541" s="23" t="s">
        <v>875</v>
      </c>
      <c r="D541" s="24">
        <v>46212</v>
      </c>
      <c r="E541" s="25">
        <v>10</v>
      </c>
      <c r="F541" s="24">
        <v>46212</v>
      </c>
      <c r="G541" s="23" t="s">
        <v>128</v>
      </c>
      <c r="H541" s="26">
        <v>5</v>
      </c>
      <c r="I541" s="24">
        <f t="shared" si="27"/>
        <v>46217</v>
      </c>
      <c r="J541" s="26">
        <f t="shared" ca="1" si="25"/>
        <v>-87</v>
      </c>
      <c r="K541" s="26" t="str">
        <f t="shared" ca="1" si="26"/>
        <v/>
      </c>
      <c r="L541" s="27" t="s">
        <v>1567</v>
      </c>
      <c r="M541" s="26" t="str">
        <f ca="1">IF(L541&lt;&gt;"","Entregado",IF(NOT(ISNUMBER(IF(Q541&lt;&gt;"",Q541,I541))),"REVISAR TE",IF(AND(ISNUMBER(Resumen!$B$3),IF(Q541&lt;&gt;"",Q541,I541)&lt;Resumen!$B$3),"REVISAR",IF(IF(Q541&lt;&gt;"",Q541,I541)&lt;TODAY(),"ATRASADO",IF(IF(Q541&lt;&gt;"",Q541,I541)-TODAY()&lt;=2,"POR VENCER","EN TIEMPO")))))</f>
        <v>Entregado</v>
      </c>
      <c r="N541" s="23" t="s">
        <v>874</v>
      </c>
      <c r="P541" s="23" t="s">
        <v>1067</v>
      </c>
      <c r="Q541" s="28"/>
    </row>
    <row r="542" spans="1:17" ht="16.5" hidden="1" x14ac:dyDescent="0.3">
      <c r="A542" s="23" t="s">
        <v>1068</v>
      </c>
      <c r="B542" s="23" t="s">
        <v>53</v>
      </c>
      <c r="C542" s="23" t="s">
        <v>1069</v>
      </c>
      <c r="D542" s="24">
        <v>46212</v>
      </c>
      <c r="E542" s="25">
        <v>5</v>
      </c>
      <c r="F542" s="24">
        <v>46212</v>
      </c>
      <c r="G542" s="23" t="s">
        <v>137</v>
      </c>
      <c r="H542" s="26">
        <v>28</v>
      </c>
      <c r="I542" s="24">
        <f t="shared" si="27"/>
        <v>46240</v>
      </c>
      <c r="J542" s="26">
        <f t="shared" ca="1" si="25"/>
        <v>-64</v>
      </c>
      <c r="K542" s="26" t="str">
        <f t="shared" ca="1" si="26"/>
        <v/>
      </c>
      <c r="L542" s="27" t="s">
        <v>1567</v>
      </c>
      <c r="M542" s="26" t="str">
        <f ca="1">IF(L542&lt;&gt;"","Entregado",IF(NOT(ISNUMBER(IF(Q542&lt;&gt;"",Q542,I542))),"REVISAR TE",IF(AND(ISNUMBER(Resumen!$B$3),IF(Q542&lt;&gt;"",Q542,I542)&lt;Resumen!$B$3),"REVISAR",IF(IF(Q542&lt;&gt;"",Q542,I542)&lt;TODAY(),"ATRASADO",IF(IF(Q542&lt;&gt;"",Q542,I542)-TODAY()&lt;=2,"POR VENCER","EN TIEMPO")))))</f>
        <v>Entregado</v>
      </c>
      <c r="N542" s="23" t="s">
        <v>899</v>
      </c>
      <c r="P542" s="23" t="s">
        <v>1070</v>
      </c>
      <c r="Q542" s="28"/>
    </row>
    <row r="543" spans="1:17" ht="16.5" hidden="1" x14ac:dyDescent="0.3">
      <c r="A543" s="23" t="s">
        <v>1068</v>
      </c>
      <c r="B543" s="23" t="s">
        <v>53</v>
      </c>
      <c r="C543" s="23" t="s">
        <v>1071</v>
      </c>
      <c r="D543" s="24">
        <v>46212</v>
      </c>
      <c r="E543" s="25">
        <v>1</v>
      </c>
      <c r="F543" s="24">
        <v>46212</v>
      </c>
      <c r="G543" s="23" t="s">
        <v>137</v>
      </c>
      <c r="H543" s="26">
        <v>28</v>
      </c>
      <c r="I543" s="24">
        <f t="shared" si="27"/>
        <v>46240</v>
      </c>
      <c r="J543" s="26">
        <f t="shared" ca="1" si="25"/>
        <v>-64</v>
      </c>
      <c r="K543" s="26" t="str">
        <f t="shared" ca="1" si="26"/>
        <v/>
      </c>
      <c r="L543" s="27" t="s">
        <v>1567</v>
      </c>
      <c r="M543" s="26" t="str">
        <f ca="1">IF(L543&lt;&gt;"","Entregado",IF(NOT(ISNUMBER(IF(Q543&lt;&gt;"",Q543,I543))),"REVISAR TE",IF(AND(ISNUMBER(Resumen!$B$3),IF(Q543&lt;&gt;"",Q543,I543)&lt;Resumen!$B$3),"REVISAR",IF(IF(Q543&lt;&gt;"",Q543,I543)&lt;TODAY(),"ATRASADO",IF(IF(Q543&lt;&gt;"",Q543,I543)-TODAY()&lt;=2,"POR VENCER","EN TIEMPO")))))</f>
        <v>Entregado</v>
      </c>
      <c r="N543" s="23" t="s">
        <v>920</v>
      </c>
      <c r="P543" s="23" t="s">
        <v>1070</v>
      </c>
      <c r="Q543" s="28"/>
    </row>
    <row r="544" spans="1:17" ht="16.5" hidden="1" x14ac:dyDescent="0.3">
      <c r="A544" s="23" t="s">
        <v>1068</v>
      </c>
      <c r="B544" s="23" t="s">
        <v>53</v>
      </c>
      <c r="C544" s="23" t="s">
        <v>1072</v>
      </c>
      <c r="D544" s="24">
        <v>46212</v>
      </c>
      <c r="E544" s="25">
        <v>1</v>
      </c>
      <c r="F544" s="24">
        <v>46212</v>
      </c>
      <c r="G544" s="23" t="s">
        <v>137</v>
      </c>
      <c r="H544" s="26">
        <v>28</v>
      </c>
      <c r="I544" s="24">
        <f t="shared" si="27"/>
        <v>46240</v>
      </c>
      <c r="J544" s="26">
        <f t="shared" ca="1" si="25"/>
        <v>-64</v>
      </c>
      <c r="K544" s="26" t="str">
        <f t="shared" ca="1" si="26"/>
        <v/>
      </c>
      <c r="L544" s="27" t="s">
        <v>1567</v>
      </c>
      <c r="M544" s="26" t="str">
        <f ca="1">IF(L544&lt;&gt;"","Entregado",IF(NOT(ISNUMBER(IF(Q544&lt;&gt;"",Q544,I544))),"REVISAR TE",IF(AND(ISNUMBER(Resumen!$B$3),IF(Q544&lt;&gt;"",Q544,I544)&lt;Resumen!$B$3),"REVISAR",IF(IF(Q544&lt;&gt;"",Q544,I544)&lt;TODAY(),"ATRASADO",IF(IF(Q544&lt;&gt;"",Q544,I544)-TODAY()&lt;=2,"POR VENCER","EN TIEMPO")))))</f>
        <v>Entregado</v>
      </c>
      <c r="N544" s="23" t="s">
        <v>922</v>
      </c>
      <c r="P544" s="23" t="s">
        <v>1070</v>
      </c>
      <c r="Q544" s="28"/>
    </row>
    <row r="545" spans="1:17" ht="16.5" hidden="1" x14ac:dyDescent="0.3">
      <c r="A545" s="23" t="s">
        <v>1068</v>
      </c>
      <c r="B545" s="23" t="s">
        <v>53</v>
      </c>
      <c r="C545" s="23" t="s">
        <v>1073</v>
      </c>
      <c r="D545" s="24">
        <v>46212</v>
      </c>
      <c r="E545" s="25">
        <v>1</v>
      </c>
      <c r="F545" s="24">
        <v>46212</v>
      </c>
      <c r="G545" s="23" t="s">
        <v>137</v>
      </c>
      <c r="H545" s="26">
        <v>28</v>
      </c>
      <c r="I545" s="24">
        <f t="shared" si="27"/>
        <v>46240</v>
      </c>
      <c r="J545" s="26">
        <f t="shared" ca="1" si="25"/>
        <v>-64</v>
      </c>
      <c r="K545" s="26" t="str">
        <f t="shared" ca="1" si="26"/>
        <v/>
      </c>
      <c r="L545" s="27" t="s">
        <v>1567</v>
      </c>
      <c r="M545" s="26" t="str">
        <f ca="1">IF(L545&lt;&gt;"","Entregado",IF(NOT(ISNUMBER(IF(Q545&lt;&gt;"",Q545,I545))),"REVISAR TE",IF(AND(ISNUMBER(Resumen!$B$3),IF(Q545&lt;&gt;"",Q545,I545)&lt;Resumen!$B$3),"REVISAR",IF(IF(Q545&lt;&gt;"",Q545,I545)&lt;TODAY(),"ATRASADO",IF(IF(Q545&lt;&gt;"",Q545,I545)-TODAY()&lt;=2,"POR VENCER","EN TIEMPO")))))</f>
        <v>Entregado</v>
      </c>
      <c r="N545" s="23" t="s">
        <v>925</v>
      </c>
      <c r="P545" s="23" t="s">
        <v>1070</v>
      </c>
      <c r="Q545" s="28"/>
    </row>
    <row r="546" spans="1:17" ht="16.5" hidden="1" x14ac:dyDescent="0.3">
      <c r="A546" s="23" t="s">
        <v>1068</v>
      </c>
      <c r="B546" s="23" t="s">
        <v>53</v>
      </c>
      <c r="C546" s="23" t="s">
        <v>1074</v>
      </c>
      <c r="D546" s="24">
        <v>46212</v>
      </c>
      <c r="E546" s="25">
        <v>5</v>
      </c>
      <c r="F546" s="24">
        <v>46212</v>
      </c>
      <c r="G546" s="23" t="s">
        <v>137</v>
      </c>
      <c r="H546" s="26">
        <v>28</v>
      </c>
      <c r="I546" s="24">
        <f t="shared" si="27"/>
        <v>46240</v>
      </c>
      <c r="J546" s="26">
        <f t="shared" ca="1" si="25"/>
        <v>-64</v>
      </c>
      <c r="K546" s="26" t="str">
        <f t="shared" ca="1" si="26"/>
        <v/>
      </c>
      <c r="L546" s="27" t="s">
        <v>1567</v>
      </c>
      <c r="M546" s="26" t="str">
        <f ca="1">IF(L546&lt;&gt;"","Entregado",IF(NOT(ISNUMBER(IF(Q546&lt;&gt;"",Q546,I546))),"REVISAR TE",IF(AND(ISNUMBER(Resumen!$B$3),IF(Q546&lt;&gt;"",Q546,I546)&lt;Resumen!$B$3),"REVISAR",IF(IF(Q546&lt;&gt;"",Q546,I546)&lt;TODAY(),"ATRASADO",IF(IF(Q546&lt;&gt;"",Q546,I546)-TODAY()&lt;=2,"POR VENCER","EN TIEMPO")))))</f>
        <v>Entregado</v>
      </c>
      <c r="N546" s="23" t="s">
        <v>902</v>
      </c>
      <c r="P546" s="23" t="s">
        <v>1070</v>
      </c>
      <c r="Q546" s="28"/>
    </row>
    <row r="547" spans="1:17" ht="16.5" hidden="1" x14ac:dyDescent="0.3">
      <c r="A547" s="23" t="s">
        <v>1068</v>
      </c>
      <c r="B547" s="23" t="s">
        <v>53</v>
      </c>
      <c r="C547" s="23" t="s">
        <v>1075</v>
      </c>
      <c r="D547" s="24">
        <v>46212</v>
      </c>
      <c r="E547" s="25">
        <v>1</v>
      </c>
      <c r="F547" s="24">
        <v>46212</v>
      </c>
      <c r="G547" s="23" t="s">
        <v>137</v>
      </c>
      <c r="H547" s="26">
        <v>28</v>
      </c>
      <c r="I547" s="24">
        <f t="shared" si="27"/>
        <v>46240</v>
      </c>
      <c r="J547" s="26">
        <f t="shared" ca="1" si="25"/>
        <v>-64</v>
      </c>
      <c r="K547" s="26" t="str">
        <f t="shared" ca="1" si="26"/>
        <v/>
      </c>
      <c r="L547" s="27" t="s">
        <v>1567</v>
      </c>
      <c r="M547" s="26" t="str">
        <f ca="1">IF(L547&lt;&gt;"","Entregado",IF(NOT(ISNUMBER(IF(Q547&lt;&gt;"",Q547,I547))),"REVISAR TE",IF(AND(ISNUMBER(Resumen!$B$3),IF(Q547&lt;&gt;"",Q547,I547)&lt;Resumen!$B$3),"REVISAR",IF(IF(Q547&lt;&gt;"",Q547,I547)&lt;TODAY(),"ATRASADO",IF(IF(Q547&lt;&gt;"",Q547,I547)-TODAY()&lt;=2,"POR VENCER","EN TIEMPO")))))</f>
        <v>Entregado</v>
      </c>
      <c r="N547" s="23" t="s">
        <v>927</v>
      </c>
      <c r="P547" s="23" t="s">
        <v>1070</v>
      </c>
      <c r="Q547" s="28"/>
    </row>
    <row r="548" spans="1:17" ht="16.5" hidden="1" x14ac:dyDescent="0.3">
      <c r="A548" s="23" t="s">
        <v>1068</v>
      </c>
      <c r="B548" s="23" t="s">
        <v>53</v>
      </c>
      <c r="C548" s="23" t="s">
        <v>1076</v>
      </c>
      <c r="D548" s="24">
        <v>46212</v>
      </c>
      <c r="E548" s="25">
        <v>1</v>
      </c>
      <c r="F548" s="24">
        <v>46212</v>
      </c>
      <c r="G548" s="23" t="s">
        <v>137</v>
      </c>
      <c r="H548" s="26">
        <v>28</v>
      </c>
      <c r="I548" s="24">
        <f t="shared" si="27"/>
        <v>46240</v>
      </c>
      <c r="J548" s="26">
        <f t="shared" ca="1" si="25"/>
        <v>-64</v>
      </c>
      <c r="K548" s="26" t="str">
        <f t="shared" ca="1" si="26"/>
        <v/>
      </c>
      <c r="L548" s="27" t="s">
        <v>1567</v>
      </c>
      <c r="M548" s="26" t="str">
        <f ca="1">IF(L548&lt;&gt;"","Entregado",IF(NOT(ISNUMBER(IF(Q548&lt;&gt;"",Q548,I548))),"REVISAR TE",IF(AND(ISNUMBER(Resumen!$B$3),IF(Q548&lt;&gt;"",Q548,I548)&lt;Resumen!$B$3),"REVISAR",IF(IF(Q548&lt;&gt;"",Q548,I548)&lt;TODAY(),"ATRASADO",IF(IF(Q548&lt;&gt;"",Q548,I548)-TODAY()&lt;=2,"POR VENCER","EN TIEMPO")))))</f>
        <v>Entregado</v>
      </c>
      <c r="N548" s="23" t="s">
        <v>929</v>
      </c>
      <c r="P548" s="23" t="s">
        <v>1070</v>
      </c>
      <c r="Q548" s="28"/>
    </row>
    <row r="549" spans="1:17" ht="16.5" hidden="1" x14ac:dyDescent="0.3">
      <c r="A549" s="23" t="s">
        <v>1068</v>
      </c>
      <c r="B549" s="23" t="s">
        <v>53</v>
      </c>
      <c r="C549" s="23" t="s">
        <v>1078</v>
      </c>
      <c r="D549" s="24">
        <v>46212</v>
      </c>
      <c r="E549" s="25">
        <v>1</v>
      </c>
      <c r="F549" s="24">
        <v>46212</v>
      </c>
      <c r="G549" s="23" t="s">
        <v>137</v>
      </c>
      <c r="H549" s="26">
        <v>28</v>
      </c>
      <c r="I549" s="24">
        <f t="shared" si="27"/>
        <v>46240</v>
      </c>
      <c r="J549" s="26">
        <f t="shared" ca="1" si="25"/>
        <v>-64</v>
      </c>
      <c r="K549" s="26" t="str">
        <f t="shared" ca="1" si="26"/>
        <v/>
      </c>
      <c r="L549" s="27" t="s">
        <v>1567</v>
      </c>
      <c r="M549" s="26" t="str">
        <f ca="1">IF(L549&lt;&gt;"","Entregado",IF(NOT(ISNUMBER(IF(Q549&lt;&gt;"",Q549,I549))),"REVISAR TE",IF(AND(ISNUMBER(Resumen!$B$3),IF(Q549&lt;&gt;"",Q549,I549)&lt;Resumen!$B$3),"REVISAR",IF(IF(Q549&lt;&gt;"",Q549,I549)&lt;TODAY(),"ATRASADO",IF(IF(Q549&lt;&gt;"",Q549,I549)-TODAY()&lt;=2,"POR VENCER","EN TIEMPO")))))</f>
        <v>Entregado</v>
      </c>
      <c r="N549" s="23" t="s">
        <v>1077</v>
      </c>
      <c r="P549" s="23" t="s">
        <v>1070</v>
      </c>
      <c r="Q549" s="28"/>
    </row>
    <row r="550" spans="1:17" ht="16.5" hidden="1" x14ac:dyDescent="0.3">
      <c r="A550" s="23" t="s">
        <v>1079</v>
      </c>
      <c r="B550" s="23" t="s">
        <v>53</v>
      </c>
      <c r="C550" s="23" t="s">
        <v>1080</v>
      </c>
      <c r="D550" s="24">
        <v>46212</v>
      </c>
      <c r="E550" s="25">
        <v>5</v>
      </c>
      <c r="F550" s="24">
        <v>46212</v>
      </c>
      <c r="G550" s="23" t="s">
        <v>137</v>
      </c>
      <c r="H550" s="26">
        <v>28</v>
      </c>
      <c r="I550" s="24">
        <f t="shared" si="27"/>
        <v>46240</v>
      </c>
      <c r="J550" s="26">
        <f t="shared" ca="1" si="25"/>
        <v>-64</v>
      </c>
      <c r="K550" s="26" t="str">
        <f t="shared" ca="1" si="26"/>
        <v/>
      </c>
      <c r="L550" s="27" t="s">
        <v>1567</v>
      </c>
      <c r="M550" s="26" t="str">
        <f ca="1">IF(L550&lt;&gt;"","Entregado",IF(NOT(ISNUMBER(IF(Q550&lt;&gt;"",Q550,I550))),"REVISAR TE",IF(AND(ISNUMBER(Resumen!$B$3),IF(Q550&lt;&gt;"",Q550,I550)&lt;Resumen!$B$3),"REVISAR",IF(IF(Q550&lt;&gt;"",Q550,I550)&lt;TODAY(),"ATRASADO",IF(IF(Q550&lt;&gt;"",Q550,I550)-TODAY()&lt;=2,"POR VENCER","EN TIEMPO")))))</f>
        <v>Entregado</v>
      </c>
      <c r="N550" s="23" t="s">
        <v>899</v>
      </c>
      <c r="P550" s="23" t="s">
        <v>1081</v>
      </c>
      <c r="Q550" s="28"/>
    </row>
    <row r="551" spans="1:17" ht="16.5" hidden="1" x14ac:dyDescent="0.3">
      <c r="A551" s="23" t="s">
        <v>1079</v>
      </c>
      <c r="B551" s="23" t="s">
        <v>53</v>
      </c>
      <c r="C551" s="23" t="s">
        <v>1082</v>
      </c>
      <c r="D551" s="24">
        <v>46212</v>
      </c>
      <c r="E551" s="25">
        <v>1</v>
      </c>
      <c r="F551" s="24">
        <v>46212</v>
      </c>
      <c r="G551" s="23" t="s">
        <v>137</v>
      </c>
      <c r="H551" s="26">
        <v>28</v>
      </c>
      <c r="I551" s="24">
        <f t="shared" si="27"/>
        <v>46240</v>
      </c>
      <c r="J551" s="26">
        <f t="shared" ca="1" si="25"/>
        <v>-64</v>
      </c>
      <c r="K551" s="26" t="str">
        <f t="shared" ca="1" si="26"/>
        <v/>
      </c>
      <c r="L551" s="27" t="s">
        <v>1567</v>
      </c>
      <c r="M551" s="26" t="str">
        <f ca="1">IF(L551&lt;&gt;"","Entregado",IF(NOT(ISNUMBER(IF(Q551&lt;&gt;"",Q551,I551))),"REVISAR TE",IF(AND(ISNUMBER(Resumen!$B$3),IF(Q551&lt;&gt;"",Q551,I551)&lt;Resumen!$B$3),"REVISAR",IF(IF(Q551&lt;&gt;"",Q551,I551)&lt;TODAY(),"ATRASADO",IF(IF(Q551&lt;&gt;"",Q551,I551)-TODAY()&lt;=2,"POR VENCER","EN TIEMPO")))))</f>
        <v>Entregado</v>
      </c>
      <c r="N551" s="23" t="s">
        <v>920</v>
      </c>
      <c r="P551" s="23" t="s">
        <v>1081</v>
      </c>
      <c r="Q551" s="28"/>
    </row>
    <row r="552" spans="1:17" ht="16.5" hidden="1" x14ac:dyDescent="0.3">
      <c r="A552" s="23" t="s">
        <v>1079</v>
      </c>
      <c r="B552" s="23" t="s">
        <v>53</v>
      </c>
      <c r="C552" s="23" t="s">
        <v>1083</v>
      </c>
      <c r="D552" s="24">
        <v>46212</v>
      </c>
      <c r="E552" s="25">
        <v>1</v>
      </c>
      <c r="F552" s="24">
        <v>46212</v>
      </c>
      <c r="G552" s="23" t="s">
        <v>137</v>
      </c>
      <c r="H552" s="26">
        <v>28</v>
      </c>
      <c r="I552" s="24">
        <f t="shared" si="27"/>
        <v>46240</v>
      </c>
      <c r="J552" s="26">
        <f t="shared" ca="1" si="25"/>
        <v>-64</v>
      </c>
      <c r="K552" s="26" t="str">
        <f t="shared" ca="1" si="26"/>
        <v/>
      </c>
      <c r="L552" s="27" t="s">
        <v>1567</v>
      </c>
      <c r="M552" s="26" t="str">
        <f ca="1">IF(L552&lt;&gt;"","Entregado",IF(NOT(ISNUMBER(IF(Q552&lt;&gt;"",Q552,I552))),"REVISAR TE",IF(AND(ISNUMBER(Resumen!$B$3),IF(Q552&lt;&gt;"",Q552,I552)&lt;Resumen!$B$3),"REVISAR",IF(IF(Q552&lt;&gt;"",Q552,I552)&lt;TODAY(),"ATRASADO",IF(IF(Q552&lt;&gt;"",Q552,I552)-TODAY()&lt;=2,"POR VENCER","EN TIEMPO")))))</f>
        <v>Entregado</v>
      </c>
      <c r="N552" s="23" t="s">
        <v>922</v>
      </c>
      <c r="P552" s="23" t="s">
        <v>1081</v>
      </c>
      <c r="Q552" s="28"/>
    </row>
    <row r="553" spans="1:17" ht="16.5" hidden="1" x14ac:dyDescent="0.3">
      <c r="A553" s="23" t="s">
        <v>1079</v>
      </c>
      <c r="B553" s="23" t="s">
        <v>53</v>
      </c>
      <c r="C553" s="23" t="s">
        <v>1084</v>
      </c>
      <c r="D553" s="24">
        <v>46212</v>
      </c>
      <c r="E553" s="25">
        <v>5</v>
      </c>
      <c r="F553" s="24">
        <v>46212</v>
      </c>
      <c r="G553" s="23" t="s">
        <v>137</v>
      </c>
      <c r="H553" s="26">
        <v>28</v>
      </c>
      <c r="I553" s="24">
        <f t="shared" si="27"/>
        <v>46240</v>
      </c>
      <c r="J553" s="26">
        <f t="shared" ca="1" si="25"/>
        <v>-64</v>
      </c>
      <c r="K553" s="26" t="str">
        <f t="shared" ca="1" si="26"/>
        <v/>
      </c>
      <c r="L553" s="27" t="s">
        <v>1567</v>
      </c>
      <c r="M553" s="26" t="str">
        <f ca="1">IF(L553&lt;&gt;"","Entregado",IF(NOT(ISNUMBER(IF(Q553&lt;&gt;"",Q553,I553))),"REVISAR TE",IF(AND(ISNUMBER(Resumen!$B$3),IF(Q553&lt;&gt;"",Q553,I553)&lt;Resumen!$B$3),"REVISAR",IF(IF(Q553&lt;&gt;"",Q553,I553)&lt;TODAY(),"ATRASADO",IF(IF(Q553&lt;&gt;"",Q553,I553)-TODAY()&lt;=2,"POR VENCER","EN TIEMPO")))))</f>
        <v>Entregado</v>
      </c>
      <c r="N553" s="23" t="s">
        <v>902</v>
      </c>
      <c r="P553" s="23" t="s">
        <v>1081</v>
      </c>
      <c r="Q553" s="28"/>
    </row>
    <row r="554" spans="1:17" ht="16.5" hidden="1" x14ac:dyDescent="0.3">
      <c r="A554" s="23" t="s">
        <v>1079</v>
      </c>
      <c r="B554" s="23" t="s">
        <v>53</v>
      </c>
      <c r="C554" s="23" t="s">
        <v>1085</v>
      </c>
      <c r="D554" s="24">
        <v>46212</v>
      </c>
      <c r="E554" s="25">
        <v>1</v>
      </c>
      <c r="F554" s="24">
        <v>46212</v>
      </c>
      <c r="G554" s="23" t="s">
        <v>137</v>
      </c>
      <c r="H554" s="26">
        <v>28</v>
      </c>
      <c r="I554" s="24">
        <f t="shared" si="27"/>
        <v>46240</v>
      </c>
      <c r="J554" s="26">
        <f t="shared" ca="1" si="25"/>
        <v>-64</v>
      </c>
      <c r="K554" s="26" t="str">
        <f t="shared" ca="1" si="26"/>
        <v/>
      </c>
      <c r="L554" s="27" t="s">
        <v>1567</v>
      </c>
      <c r="M554" s="26" t="str">
        <f ca="1">IF(L554&lt;&gt;"","Entregado",IF(NOT(ISNUMBER(IF(Q554&lt;&gt;"",Q554,I554))),"REVISAR TE",IF(AND(ISNUMBER(Resumen!$B$3),IF(Q554&lt;&gt;"",Q554,I554)&lt;Resumen!$B$3),"REVISAR",IF(IF(Q554&lt;&gt;"",Q554,I554)&lt;TODAY(),"ATRASADO",IF(IF(Q554&lt;&gt;"",Q554,I554)-TODAY()&lt;=2,"POR VENCER","EN TIEMPO")))))</f>
        <v>Entregado</v>
      </c>
      <c r="N554" s="23" t="s">
        <v>925</v>
      </c>
      <c r="P554" s="23" t="s">
        <v>1081</v>
      </c>
      <c r="Q554" s="28"/>
    </row>
    <row r="555" spans="1:17" ht="16.5" hidden="1" x14ac:dyDescent="0.3">
      <c r="A555" s="23" t="s">
        <v>1079</v>
      </c>
      <c r="B555" s="23" t="s">
        <v>53</v>
      </c>
      <c r="C555" s="23" t="s">
        <v>1086</v>
      </c>
      <c r="D555" s="24">
        <v>46212</v>
      </c>
      <c r="E555" s="25">
        <v>1</v>
      </c>
      <c r="F555" s="24">
        <v>46212</v>
      </c>
      <c r="G555" s="23" t="s">
        <v>137</v>
      </c>
      <c r="H555" s="26">
        <v>28</v>
      </c>
      <c r="I555" s="24">
        <f t="shared" si="27"/>
        <v>46240</v>
      </c>
      <c r="J555" s="26">
        <f t="shared" ca="1" si="25"/>
        <v>-64</v>
      </c>
      <c r="K555" s="26" t="str">
        <f t="shared" ca="1" si="26"/>
        <v/>
      </c>
      <c r="L555" s="27" t="s">
        <v>1567</v>
      </c>
      <c r="M555" s="26" t="str">
        <f ca="1">IF(L555&lt;&gt;"","Entregado",IF(NOT(ISNUMBER(IF(Q555&lt;&gt;"",Q555,I555))),"REVISAR TE",IF(AND(ISNUMBER(Resumen!$B$3),IF(Q555&lt;&gt;"",Q555,I555)&lt;Resumen!$B$3),"REVISAR",IF(IF(Q555&lt;&gt;"",Q555,I555)&lt;TODAY(),"ATRASADO",IF(IF(Q555&lt;&gt;"",Q555,I555)-TODAY()&lt;=2,"POR VENCER","EN TIEMPO")))))</f>
        <v>Entregado</v>
      </c>
      <c r="N555" s="23" t="s">
        <v>927</v>
      </c>
      <c r="P555" s="23" t="s">
        <v>1081</v>
      </c>
      <c r="Q555" s="28"/>
    </row>
    <row r="556" spans="1:17" ht="16.5" hidden="1" x14ac:dyDescent="0.3">
      <c r="A556" s="23" t="s">
        <v>1079</v>
      </c>
      <c r="B556" s="23" t="s">
        <v>53</v>
      </c>
      <c r="C556" s="23" t="s">
        <v>1087</v>
      </c>
      <c r="D556" s="24">
        <v>46212</v>
      </c>
      <c r="E556" s="25">
        <v>1</v>
      </c>
      <c r="F556" s="24">
        <v>46212</v>
      </c>
      <c r="G556" s="23" t="s">
        <v>137</v>
      </c>
      <c r="H556" s="26">
        <v>28</v>
      </c>
      <c r="I556" s="24">
        <f t="shared" si="27"/>
        <v>46240</v>
      </c>
      <c r="J556" s="26">
        <f t="shared" ca="1" si="25"/>
        <v>-64</v>
      </c>
      <c r="K556" s="26" t="str">
        <f t="shared" ca="1" si="26"/>
        <v/>
      </c>
      <c r="L556" s="27" t="s">
        <v>1567</v>
      </c>
      <c r="M556" s="26" t="str">
        <f ca="1">IF(L556&lt;&gt;"","Entregado",IF(NOT(ISNUMBER(IF(Q556&lt;&gt;"",Q556,I556))),"REVISAR TE",IF(AND(ISNUMBER(Resumen!$B$3),IF(Q556&lt;&gt;"",Q556,I556)&lt;Resumen!$B$3),"REVISAR",IF(IF(Q556&lt;&gt;"",Q556,I556)&lt;TODAY(),"ATRASADO",IF(IF(Q556&lt;&gt;"",Q556,I556)-TODAY()&lt;=2,"POR VENCER","EN TIEMPO")))))</f>
        <v>Entregado</v>
      </c>
      <c r="N556" s="23" t="s">
        <v>929</v>
      </c>
      <c r="P556" s="23" t="s">
        <v>1081</v>
      </c>
      <c r="Q556" s="28"/>
    </row>
    <row r="557" spans="1:17" ht="16.5" hidden="1" x14ac:dyDescent="0.3">
      <c r="A557" s="23" t="s">
        <v>1079</v>
      </c>
      <c r="B557" s="23" t="s">
        <v>53</v>
      </c>
      <c r="C557" s="23" t="s">
        <v>1088</v>
      </c>
      <c r="D557" s="24">
        <v>46212</v>
      </c>
      <c r="E557" s="25">
        <v>5</v>
      </c>
      <c r="F557" s="24">
        <v>46212</v>
      </c>
      <c r="G557" s="23" t="s">
        <v>137</v>
      </c>
      <c r="H557" s="26">
        <v>28</v>
      </c>
      <c r="I557" s="24">
        <f t="shared" si="27"/>
        <v>46240</v>
      </c>
      <c r="J557" s="26">
        <f t="shared" ca="1" si="25"/>
        <v>-64</v>
      </c>
      <c r="K557" s="26" t="str">
        <f t="shared" ca="1" si="26"/>
        <v/>
      </c>
      <c r="L557" s="27" t="s">
        <v>1567</v>
      </c>
      <c r="M557" s="26" t="str">
        <f ca="1">IF(L557&lt;&gt;"","Entregado",IF(NOT(ISNUMBER(IF(Q557&lt;&gt;"",Q557,I557))),"REVISAR TE",IF(AND(ISNUMBER(Resumen!$B$3),IF(Q557&lt;&gt;"",Q557,I557)&lt;Resumen!$B$3),"REVISAR",IF(IF(Q557&lt;&gt;"",Q557,I557)&lt;TODAY(),"ATRASADO",IF(IF(Q557&lt;&gt;"",Q557,I557)-TODAY()&lt;=2,"POR VENCER","EN TIEMPO")))))</f>
        <v>Entregado</v>
      </c>
      <c r="N557" s="23" t="s">
        <v>904</v>
      </c>
      <c r="P557" s="23" t="s">
        <v>1081</v>
      </c>
      <c r="Q557" s="28"/>
    </row>
    <row r="558" spans="1:17" ht="16.5" hidden="1" x14ac:dyDescent="0.3">
      <c r="A558" s="23" t="s">
        <v>1079</v>
      </c>
      <c r="B558" s="23" t="s">
        <v>53</v>
      </c>
      <c r="C558" s="23" t="s">
        <v>1085</v>
      </c>
      <c r="D558" s="24">
        <v>46212</v>
      </c>
      <c r="E558" s="25">
        <v>1</v>
      </c>
      <c r="F558" s="24">
        <v>46212</v>
      </c>
      <c r="G558" s="23" t="s">
        <v>137</v>
      </c>
      <c r="H558" s="26">
        <v>28</v>
      </c>
      <c r="I558" s="24">
        <f t="shared" si="27"/>
        <v>46240</v>
      </c>
      <c r="J558" s="26">
        <f t="shared" ca="1" si="25"/>
        <v>-64</v>
      </c>
      <c r="K558" s="26" t="str">
        <f t="shared" ca="1" si="26"/>
        <v/>
      </c>
      <c r="L558" s="27" t="s">
        <v>1567</v>
      </c>
      <c r="M558" s="26" t="str">
        <f ca="1">IF(L558&lt;&gt;"","Entregado",IF(NOT(ISNUMBER(IF(Q558&lt;&gt;"",Q558,I558))),"REVISAR TE",IF(AND(ISNUMBER(Resumen!$B$3),IF(Q558&lt;&gt;"",Q558,I558)&lt;Resumen!$B$3),"REVISAR",IF(IF(Q558&lt;&gt;"",Q558,I558)&lt;TODAY(),"ATRASADO",IF(IF(Q558&lt;&gt;"",Q558,I558)-TODAY()&lt;=2,"POR VENCER","EN TIEMPO")))))</f>
        <v>Entregado</v>
      </c>
      <c r="N558" s="23" t="s">
        <v>1077</v>
      </c>
      <c r="P558" s="23" t="s">
        <v>1081</v>
      </c>
      <c r="Q558" s="28"/>
    </row>
    <row r="559" spans="1:17" ht="16.5" hidden="1" x14ac:dyDescent="0.3">
      <c r="A559" s="23" t="s">
        <v>1079</v>
      </c>
      <c r="B559" s="23" t="s">
        <v>53</v>
      </c>
      <c r="C559" s="23" t="s">
        <v>1086</v>
      </c>
      <c r="D559" s="24">
        <v>46212</v>
      </c>
      <c r="E559" s="25">
        <v>1</v>
      </c>
      <c r="F559" s="24">
        <v>46212</v>
      </c>
      <c r="G559" s="23" t="s">
        <v>137</v>
      </c>
      <c r="H559" s="26">
        <v>28</v>
      </c>
      <c r="I559" s="24">
        <f t="shared" si="27"/>
        <v>46240</v>
      </c>
      <c r="J559" s="26">
        <f t="shared" ca="1" si="25"/>
        <v>-64</v>
      </c>
      <c r="K559" s="26" t="str">
        <f t="shared" ca="1" si="26"/>
        <v/>
      </c>
      <c r="L559" s="27" t="s">
        <v>1567</v>
      </c>
      <c r="M559" s="26" t="str">
        <f ca="1">IF(L559&lt;&gt;"","Entregado",IF(NOT(ISNUMBER(IF(Q559&lt;&gt;"",Q559,I559))),"REVISAR TE",IF(AND(ISNUMBER(Resumen!$B$3),IF(Q559&lt;&gt;"",Q559,I559)&lt;Resumen!$B$3),"REVISAR",IF(IF(Q559&lt;&gt;"",Q559,I559)&lt;TODAY(),"ATRASADO",IF(IF(Q559&lt;&gt;"",Q559,I559)-TODAY()&lt;=2,"POR VENCER","EN TIEMPO")))))</f>
        <v>Entregado</v>
      </c>
      <c r="N559" s="23" t="s">
        <v>1089</v>
      </c>
      <c r="P559" s="23" t="s">
        <v>1081</v>
      </c>
      <c r="Q559" s="28"/>
    </row>
    <row r="560" spans="1:17" ht="16.5" hidden="1" x14ac:dyDescent="0.3">
      <c r="A560" s="23" t="s">
        <v>1079</v>
      </c>
      <c r="B560" s="23" t="s">
        <v>53</v>
      </c>
      <c r="C560" s="23" t="s">
        <v>1091</v>
      </c>
      <c r="D560" s="24">
        <v>46212</v>
      </c>
      <c r="E560" s="25">
        <v>1</v>
      </c>
      <c r="F560" s="24">
        <v>46212</v>
      </c>
      <c r="G560" s="23" t="s">
        <v>137</v>
      </c>
      <c r="H560" s="26">
        <v>28</v>
      </c>
      <c r="I560" s="24">
        <f t="shared" si="27"/>
        <v>46240</v>
      </c>
      <c r="J560" s="26">
        <f t="shared" ca="1" si="25"/>
        <v>-64</v>
      </c>
      <c r="K560" s="26" t="str">
        <f t="shared" ca="1" si="26"/>
        <v/>
      </c>
      <c r="L560" s="27" t="s">
        <v>1567</v>
      </c>
      <c r="M560" s="26" t="str">
        <f ca="1">IF(L560&lt;&gt;"","Entregado",IF(NOT(ISNUMBER(IF(Q560&lt;&gt;"",Q560,I560))),"REVISAR TE",IF(AND(ISNUMBER(Resumen!$B$3),IF(Q560&lt;&gt;"",Q560,I560)&lt;Resumen!$B$3),"REVISAR",IF(IF(Q560&lt;&gt;"",Q560,I560)&lt;TODAY(),"ATRASADO",IF(IF(Q560&lt;&gt;"",Q560,I560)-TODAY()&lt;=2,"POR VENCER","EN TIEMPO")))))</f>
        <v>Entregado</v>
      </c>
      <c r="N560" s="23" t="s">
        <v>1090</v>
      </c>
      <c r="P560" s="23" t="s">
        <v>1081</v>
      </c>
      <c r="Q560" s="28"/>
    </row>
    <row r="561" spans="1:17" ht="16.5" x14ac:dyDescent="0.3">
      <c r="A561" s="23" t="s">
        <v>1092</v>
      </c>
      <c r="B561" s="23" t="s">
        <v>56</v>
      </c>
      <c r="C561" s="23" t="s">
        <v>1094</v>
      </c>
      <c r="D561" s="24">
        <v>46216</v>
      </c>
      <c r="E561" s="25">
        <v>1</v>
      </c>
      <c r="F561" s="24">
        <v>46216</v>
      </c>
      <c r="G561" s="23" t="s">
        <v>1093</v>
      </c>
      <c r="H561" s="26">
        <v>56</v>
      </c>
      <c r="I561" s="24">
        <f t="shared" si="27"/>
        <v>46272</v>
      </c>
      <c r="J561" s="26">
        <f t="shared" ca="1" si="25"/>
        <v>-32</v>
      </c>
      <c r="K561" s="26">
        <f t="shared" ca="1" si="26"/>
        <v>32</v>
      </c>
      <c r="L561" s="27"/>
      <c r="M561" s="26" t="str">
        <f ca="1">IF(L561&lt;&gt;"","Entregado",IF(NOT(ISNUMBER(IF(Q561&lt;&gt;"",Q561,I561))),"REVISAR TE",IF(AND(ISNUMBER(Resumen!$B$3),IF(Q561&lt;&gt;"",Q561,I561)&lt;Resumen!$B$3),"REVISAR",IF(IF(Q561&lt;&gt;"",Q561,I561)&lt;TODAY(),"ATRASADO",IF(IF(Q561&lt;&gt;"",Q561,I561)-TODAY()&lt;=2,"POR VENCER","EN TIEMPO")))))</f>
        <v>ATRASADO</v>
      </c>
      <c r="N561" s="23" t="s">
        <v>165</v>
      </c>
      <c r="P561" s="23" t="s">
        <v>1095</v>
      </c>
      <c r="Q561" s="28"/>
    </row>
    <row r="562" spans="1:17" ht="16.5" x14ac:dyDescent="0.3">
      <c r="A562" s="23" t="s">
        <v>1092</v>
      </c>
      <c r="B562" s="23" t="s">
        <v>56</v>
      </c>
      <c r="C562" s="23" t="s">
        <v>1096</v>
      </c>
      <c r="D562" s="24">
        <v>46216</v>
      </c>
      <c r="E562" s="25">
        <v>1</v>
      </c>
      <c r="F562" s="24">
        <v>46216</v>
      </c>
      <c r="G562" s="23" t="s">
        <v>1093</v>
      </c>
      <c r="H562" s="26">
        <v>56</v>
      </c>
      <c r="I562" s="24">
        <f t="shared" si="27"/>
        <v>46272</v>
      </c>
      <c r="J562" s="26">
        <f t="shared" ca="1" si="25"/>
        <v>-32</v>
      </c>
      <c r="K562" s="26">
        <f t="shared" ca="1" si="26"/>
        <v>32</v>
      </c>
      <c r="L562" s="27"/>
      <c r="M562" s="26" t="str">
        <f ca="1">IF(L562&lt;&gt;"","Entregado",IF(NOT(ISNUMBER(IF(Q562&lt;&gt;"",Q562,I562))),"REVISAR TE",IF(AND(ISNUMBER(Resumen!$B$3),IF(Q562&lt;&gt;"",Q562,I562)&lt;Resumen!$B$3),"REVISAR",IF(IF(Q562&lt;&gt;"",Q562,I562)&lt;TODAY(),"ATRASADO",IF(IF(Q562&lt;&gt;"",Q562,I562)-TODAY()&lt;=2,"POR VENCER","EN TIEMPO")))))</f>
        <v>ATRASADO</v>
      </c>
      <c r="N562" s="23" t="s">
        <v>165</v>
      </c>
      <c r="P562" s="23" t="s">
        <v>1095</v>
      </c>
      <c r="Q562" s="28"/>
    </row>
    <row r="563" spans="1:17" ht="16.5" x14ac:dyDescent="0.3">
      <c r="A563" s="23" t="s">
        <v>1092</v>
      </c>
      <c r="B563" s="23" t="s">
        <v>56</v>
      </c>
      <c r="C563" s="23" t="s">
        <v>1097</v>
      </c>
      <c r="D563" s="24">
        <v>46216</v>
      </c>
      <c r="E563" s="25">
        <v>1</v>
      </c>
      <c r="F563" s="24">
        <v>46216</v>
      </c>
      <c r="G563" s="23" t="s">
        <v>1093</v>
      </c>
      <c r="H563" s="26">
        <v>56</v>
      </c>
      <c r="I563" s="24">
        <f t="shared" si="27"/>
        <v>46272</v>
      </c>
      <c r="J563" s="26">
        <f t="shared" ca="1" si="25"/>
        <v>-32</v>
      </c>
      <c r="K563" s="26">
        <f t="shared" ca="1" si="26"/>
        <v>32</v>
      </c>
      <c r="L563" s="27"/>
      <c r="M563" s="26" t="str">
        <f ca="1">IF(L563&lt;&gt;"","Entregado",IF(NOT(ISNUMBER(IF(Q563&lt;&gt;"",Q563,I563))),"REVISAR TE",IF(AND(ISNUMBER(Resumen!$B$3),IF(Q563&lt;&gt;"",Q563,I563)&lt;Resumen!$B$3),"REVISAR",IF(IF(Q563&lt;&gt;"",Q563,I563)&lt;TODAY(),"ATRASADO",IF(IF(Q563&lt;&gt;"",Q563,I563)-TODAY()&lt;=2,"POR VENCER","EN TIEMPO")))))</f>
        <v>ATRASADO</v>
      </c>
      <c r="N563" s="23" t="s">
        <v>165</v>
      </c>
      <c r="P563" s="23" t="s">
        <v>1095</v>
      </c>
      <c r="Q563" s="28"/>
    </row>
    <row r="564" spans="1:17" ht="16.5" x14ac:dyDescent="0.3">
      <c r="A564" s="23" t="s">
        <v>1092</v>
      </c>
      <c r="B564" s="23" t="s">
        <v>56</v>
      </c>
      <c r="C564" s="23" t="s">
        <v>1098</v>
      </c>
      <c r="D564" s="24">
        <v>46216</v>
      </c>
      <c r="E564" s="25">
        <v>1</v>
      </c>
      <c r="F564" s="24">
        <v>46216</v>
      </c>
      <c r="G564" s="23" t="s">
        <v>1093</v>
      </c>
      <c r="H564" s="26">
        <v>56</v>
      </c>
      <c r="I564" s="24">
        <f t="shared" si="27"/>
        <v>46272</v>
      </c>
      <c r="J564" s="26">
        <f t="shared" ca="1" si="25"/>
        <v>-32</v>
      </c>
      <c r="K564" s="26">
        <f t="shared" ca="1" si="26"/>
        <v>32</v>
      </c>
      <c r="L564" s="27"/>
      <c r="M564" s="26" t="str">
        <f ca="1">IF(L564&lt;&gt;"","Entregado",IF(NOT(ISNUMBER(IF(Q564&lt;&gt;"",Q564,I564))),"REVISAR TE",IF(AND(ISNUMBER(Resumen!$B$3),IF(Q564&lt;&gt;"",Q564,I564)&lt;Resumen!$B$3),"REVISAR",IF(IF(Q564&lt;&gt;"",Q564,I564)&lt;TODAY(),"ATRASADO",IF(IF(Q564&lt;&gt;"",Q564,I564)-TODAY()&lt;=2,"POR VENCER","EN TIEMPO")))))</f>
        <v>ATRASADO</v>
      </c>
      <c r="N564" s="23" t="s">
        <v>165</v>
      </c>
      <c r="P564" s="23" t="s">
        <v>1095</v>
      </c>
      <c r="Q564" s="28"/>
    </row>
    <row r="565" spans="1:17" ht="16.5" x14ac:dyDescent="0.3">
      <c r="A565" s="23" t="s">
        <v>1092</v>
      </c>
      <c r="B565" s="23" t="s">
        <v>56</v>
      </c>
      <c r="C565" s="23" t="s">
        <v>1099</v>
      </c>
      <c r="D565" s="24">
        <v>46216</v>
      </c>
      <c r="E565" s="25">
        <v>1</v>
      </c>
      <c r="F565" s="24">
        <v>46216</v>
      </c>
      <c r="G565" s="23" t="s">
        <v>1093</v>
      </c>
      <c r="H565" s="26">
        <v>56</v>
      </c>
      <c r="I565" s="24">
        <f t="shared" si="27"/>
        <v>46272</v>
      </c>
      <c r="J565" s="26">
        <f t="shared" ca="1" si="25"/>
        <v>-32</v>
      </c>
      <c r="K565" s="26">
        <f t="shared" ca="1" si="26"/>
        <v>32</v>
      </c>
      <c r="L565" s="27"/>
      <c r="M565" s="26" t="str">
        <f ca="1">IF(L565&lt;&gt;"","Entregado",IF(NOT(ISNUMBER(IF(Q565&lt;&gt;"",Q565,I565))),"REVISAR TE",IF(AND(ISNUMBER(Resumen!$B$3),IF(Q565&lt;&gt;"",Q565,I565)&lt;Resumen!$B$3),"REVISAR",IF(IF(Q565&lt;&gt;"",Q565,I565)&lt;TODAY(),"ATRASADO",IF(IF(Q565&lt;&gt;"",Q565,I565)-TODAY()&lt;=2,"POR VENCER","EN TIEMPO")))))</f>
        <v>ATRASADO</v>
      </c>
      <c r="N565" s="23" t="s">
        <v>165</v>
      </c>
      <c r="P565" s="23" t="s">
        <v>1095</v>
      </c>
      <c r="Q565" s="28"/>
    </row>
    <row r="566" spans="1:17" ht="16.5" x14ac:dyDescent="0.3">
      <c r="A566" s="23" t="s">
        <v>1092</v>
      </c>
      <c r="B566" s="23" t="s">
        <v>56</v>
      </c>
      <c r="C566" s="23" t="s">
        <v>1100</v>
      </c>
      <c r="D566" s="24">
        <v>46216</v>
      </c>
      <c r="E566" s="25">
        <v>1</v>
      </c>
      <c r="F566" s="24">
        <v>46216</v>
      </c>
      <c r="G566" s="23" t="s">
        <v>1093</v>
      </c>
      <c r="H566" s="26">
        <v>56</v>
      </c>
      <c r="I566" s="24">
        <f t="shared" si="27"/>
        <v>46272</v>
      </c>
      <c r="J566" s="26">
        <f t="shared" ca="1" si="25"/>
        <v>-32</v>
      </c>
      <c r="K566" s="26">
        <f t="shared" ca="1" si="26"/>
        <v>32</v>
      </c>
      <c r="L566" s="27"/>
      <c r="M566" s="26" t="str">
        <f ca="1">IF(L566&lt;&gt;"","Entregado",IF(NOT(ISNUMBER(IF(Q566&lt;&gt;"",Q566,I566))),"REVISAR TE",IF(AND(ISNUMBER(Resumen!$B$3),IF(Q566&lt;&gt;"",Q566,I566)&lt;Resumen!$B$3),"REVISAR",IF(IF(Q566&lt;&gt;"",Q566,I566)&lt;TODAY(),"ATRASADO",IF(IF(Q566&lt;&gt;"",Q566,I566)-TODAY()&lt;=2,"POR VENCER","EN TIEMPO")))))</f>
        <v>ATRASADO</v>
      </c>
      <c r="N566" s="23" t="s">
        <v>165</v>
      </c>
      <c r="P566" s="23" t="s">
        <v>1095</v>
      </c>
      <c r="Q566" s="28"/>
    </row>
    <row r="567" spans="1:17" ht="16.5" x14ac:dyDescent="0.3">
      <c r="A567" s="23" t="s">
        <v>1092</v>
      </c>
      <c r="B567" s="23" t="s">
        <v>56</v>
      </c>
      <c r="C567" s="23" t="s">
        <v>1101</v>
      </c>
      <c r="D567" s="24">
        <v>46216</v>
      </c>
      <c r="E567" s="25">
        <v>1</v>
      </c>
      <c r="F567" s="24">
        <v>46216</v>
      </c>
      <c r="G567" s="23" t="s">
        <v>1093</v>
      </c>
      <c r="H567" s="26">
        <v>56</v>
      </c>
      <c r="I567" s="24">
        <f t="shared" si="27"/>
        <v>46272</v>
      </c>
      <c r="J567" s="26">
        <f t="shared" ca="1" si="25"/>
        <v>-32</v>
      </c>
      <c r="K567" s="26">
        <f t="shared" ca="1" si="26"/>
        <v>32</v>
      </c>
      <c r="L567" s="27"/>
      <c r="M567" s="26" t="str">
        <f ca="1">IF(L567&lt;&gt;"","Entregado",IF(NOT(ISNUMBER(IF(Q567&lt;&gt;"",Q567,I567))),"REVISAR TE",IF(AND(ISNUMBER(Resumen!$B$3),IF(Q567&lt;&gt;"",Q567,I567)&lt;Resumen!$B$3),"REVISAR",IF(IF(Q567&lt;&gt;"",Q567,I567)&lt;TODAY(),"ATRASADO",IF(IF(Q567&lt;&gt;"",Q567,I567)-TODAY()&lt;=2,"POR VENCER","EN TIEMPO")))))</f>
        <v>ATRASADO</v>
      </c>
      <c r="N567" s="23" t="s">
        <v>165</v>
      </c>
      <c r="P567" s="23" t="s">
        <v>1095</v>
      </c>
      <c r="Q567" s="28"/>
    </row>
    <row r="568" spans="1:17" ht="16.5" x14ac:dyDescent="0.3">
      <c r="A568" s="23" t="s">
        <v>1092</v>
      </c>
      <c r="B568" s="23" t="s">
        <v>56</v>
      </c>
      <c r="C568" s="23" t="s">
        <v>1102</v>
      </c>
      <c r="D568" s="24">
        <v>46216</v>
      </c>
      <c r="E568" s="25">
        <v>1</v>
      </c>
      <c r="F568" s="24">
        <v>46216</v>
      </c>
      <c r="G568" s="23" t="s">
        <v>1093</v>
      </c>
      <c r="H568" s="26">
        <v>56</v>
      </c>
      <c r="I568" s="24">
        <f t="shared" si="27"/>
        <v>46272</v>
      </c>
      <c r="J568" s="26">
        <f t="shared" ca="1" si="25"/>
        <v>-32</v>
      </c>
      <c r="K568" s="26">
        <f t="shared" ca="1" si="26"/>
        <v>32</v>
      </c>
      <c r="L568" s="27"/>
      <c r="M568" s="26" t="str">
        <f ca="1">IF(L568&lt;&gt;"","Entregado",IF(NOT(ISNUMBER(IF(Q568&lt;&gt;"",Q568,I568))),"REVISAR TE",IF(AND(ISNUMBER(Resumen!$B$3),IF(Q568&lt;&gt;"",Q568,I568)&lt;Resumen!$B$3),"REVISAR",IF(IF(Q568&lt;&gt;"",Q568,I568)&lt;TODAY(),"ATRASADO",IF(IF(Q568&lt;&gt;"",Q568,I568)-TODAY()&lt;=2,"POR VENCER","EN TIEMPO")))))</f>
        <v>ATRASADO</v>
      </c>
      <c r="N568" s="23" t="s">
        <v>165</v>
      </c>
      <c r="P568" s="23" t="s">
        <v>1095</v>
      </c>
      <c r="Q568" s="28"/>
    </row>
    <row r="569" spans="1:17" ht="16.5" x14ac:dyDescent="0.3">
      <c r="A569" s="23" t="s">
        <v>1092</v>
      </c>
      <c r="B569" s="23" t="s">
        <v>56</v>
      </c>
      <c r="C569" s="23" t="s">
        <v>1103</v>
      </c>
      <c r="D569" s="24">
        <v>46216</v>
      </c>
      <c r="E569" s="25">
        <v>1</v>
      </c>
      <c r="F569" s="24">
        <v>46216</v>
      </c>
      <c r="G569" s="23" t="s">
        <v>1093</v>
      </c>
      <c r="H569" s="26">
        <v>56</v>
      </c>
      <c r="I569" s="24">
        <f t="shared" si="27"/>
        <v>46272</v>
      </c>
      <c r="J569" s="26">
        <f t="shared" ca="1" si="25"/>
        <v>-32</v>
      </c>
      <c r="K569" s="26">
        <f t="shared" ca="1" si="26"/>
        <v>32</v>
      </c>
      <c r="L569" s="27"/>
      <c r="M569" s="26" t="str">
        <f ca="1">IF(L569&lt;&gt;"","Entregado",IF(NOT(ISNUMBER(IF(Q569&lt;&gt;"",Q569,I569))),"REVISAR TE",IF(AND(ISNUMBER(Resumen!$B$3),IF(Q569&lt;&gt;"",Q569,I569)&lt;Resumen!$B$3),"REVISAR",IF(IF(Q569&lt;&gt;"",Q569,I569)&lt;TODAY(),"ATRASADO",IF(IF(Q569&lt;&gt;"",Q569,I569)-TODAY()&lt;=2,"POR VENCER","EN TIEMPO")))))</f>
        <v>ATRASADO</v>
      </c>
      <c r="N569" s="23" t="s">
        <v>165</v>
      </c>
      <c r="P569" s="23" t="s">
        <v>1095</v>
      </c>
      <c r="Q569" s="28"/>
    </row>
    <row r="570" spans="1:17" ht="16.5" x14ac:dyDescent="0.3">
      <c r="A570" s="23" t="s">
        <v>1092</v>
      </c>
      <c r="B570" s="23" t="s">
        <v>56</v>
      </c>
      <c r="C570" s="23" t="s">
        <v>1104</v>
      </c>
      <c r="D570" s="24">
        <v>46216</v>
      </c>
      <c r="E570" s="25">
        <v>1</v>
      </c>
      <c r="F570" s="24">
        <v>46216</v>
      </c>
      <c r="G570" s="23" t="s">
        <v>1093</v>
      </c>
      <c r="H570" s="26">
        <v>56</v>
      </c>
      <c r="I570" s="24">
        <f t="shared" si="27"/>
        <v>46272</v>
      </c>
      <c r="J570" s="26">
        <f t="shared" ca="1" si="25"/>
        <v>-32</v>
      </c>
      <c r="K570" s="26">
        <f t="shared" ca="1" si="26"/>
        <v>32</v>
      </c>
      <c r="L570" s="27"/>
      <c r="M570" s="26" t="str">
        <f ca="1">IF(L570&lt;&gt;"","Entregado",IF(NOT(ISNUMBER(IF(Q570&lt;&gt;"",Q570,I570))),"REVISAR TE",IF(AND(ISNUMBER(Resumen!$B$3),IF(Q570&lt;&gt;"",Q570,I570)&lt;Resumen!$B$3),"REVISAR",IF(IF(Q570&lt;&gt;"",Q570,I570)&lt;TODAY(),"ATRASADO",IF(IF(Q570&lt;&gt;"",Q570,I570)-TODAY()&lt;=2,"POR VENCER","EN TIEMPO")))))</f>
        <v>ATRASADO</v>
      </c>
      <c r="N570" s="23" t="s">
        <v>165</v>
      </c>
      <c r="P570" s="23" t="s">
        <v>1095</v>
      </c>
      <c r="Q570" s="28"/>
    </row>
    <row r="571" spans="1:17" ht="16.5" x14ac:dyDescent="0.3">
      <c r="A571" s="23" t="s">
        <v>1105</v>
      </c>
      <c r="B571" s="23" t="s">
        <v>57</v>
      </c>
      <c r="C571" s="23" t="s">
        <v>1106</v>
      </c>
      <c r="D571" s="24">
        <v>46217</v>
      </c>
      <c r="E571" s="25">
        <v>44</v>
      </c>
      <c r="F571" s="24">
        <v>46217</v>
      </c>
      <c r="G571" s="23" t="s">
        <v>643</v>
      </c>
      <c r="H571" s="26">
        <v>42</v>
      </c>
      <c r="I571" s="24">
        <f t="shared" si="27"/>
        <v>46259</v>
      </c>
      <c r="J571" s="26">
        <f t="shared" ca="1" si="25"/>
        <v>-45</v>
      </c>
      <c r="K571" s="26">
        <f t="shared" ca="1" si="26"/>
        <v>45</v>
      </c>
      <c r="L571" s="27"/>
      <c r="M571" s="26" t="str">
        <f ca="1">IF(L571&lt;&gt;"","Entregado",IF(NOT(ISNUMBER(IF(Q571&lt;&gt;"",Q571,I571))),"REVISAR TE",IF(AND(ISNUMBER(Resumen!$B$3),IF(Q571&lt;&gt;"",Q571,I571)&lt;Resumen!$B$3),"REVISAR",IF(IF(Q571&lt;&gt;"",Q571,I571)&lt;TODAY(),"ATRASADO",IF(IF(Q571&lt;&gt;"",Q571,I571)-TODAY()&lt;=2,"POR VENCER","EN TIEMPO")))))</f>
        <v>ATRASADO</v>
      </c>
      <c r="N571" s="23" t="s">
        <v>94</v>
      </c>
      <c r="P571" s="23" t="s">
        <v>1107</v>
      </c>
      <c r="Q571" s="28"/>
    </row>
    <row r="572" spans="1:17" ht="16.5" x14ac:dyDescent="0.3">
      <c r="A572" s="23" t="s">
        <v>1105</v>
      </c>
      <c r="B572" s="23" t="s">
        <v>57</v>
      </c>
      <c r="C572" s="23" t="s">
        <v>1108</v>
      </c>
      <c r="D572" s="24">
        <v>46217</v>
      </c>
      <c r="E572" s="25">
        <v>34</v>
      </c>
      <c r="F572" s="24">
        <v>46217</v>
      </c>
      <c r="G572" s="23" t="s">
        <v>643</v>
      </c>
      <c r="H572" s="26">
        <v>42</v>
      </c>
      <c r="I572" s="24">
        <f t="shared" si="27"/>
        <v>46259</v>
      </c>
      <c r="J572" s="26">
        <f t="shared" ca="1" si="25"/>
        <v>-45</v>
      </c>
      <c r="K572" s="26">
        <f t="shared" ca="1" si="26"/>
        <v>45</v>
      </c>
      <c r="L572" s="27"/>
      <c r="M572" s="26" t="str">
        <f ca="1">IF(L572&lt;&gt;"","Entregado",IF(NOT(ISNUMBER(IF(Q572&lt;&gt;"",Q572,I572))),"REVISAR TE",IF(AND(ISNUMBER(Resumen!$B$3),IF(Q572&lt;&gt;"",Q572,I572)&lt;Resumen!$B$3),"REVISAR",IF(IF(Q572&lt;&gt;"",Q572,I572)&lt;TODAY(),"ATRASADO",IF(IF(Q572&lt;&gt;"",Q572,I572)-TODAY()&lt;=2,"POR VENCER","EN TIEMPO")))))</f>
        <v>ATRASADO</v>
      </c>
      <c r="N572" s="23" t="s">
        <v>94</v>
      </c>
      <c r="P572" s="23" t="s">
        <v>1107</v>
      </c>
      <c r="Q572" s="28"/>
    </row>
    <row r="573" spans="1:17" ht="16.5" x14ac:dyDescent="0.3">
      <c r="A573" s="23" t="s">
        <v>1105</v>
      </c>
      <c r="B573" s="23" t="s">
        <v>57</v>
      </c>
      <c r="C573" s="23" t="s">
        <v>1109</v>
      </c>
      <c r="D573" s="24">
        <v>46217</v>
      </c>
      <c r="E573" s="25">
        <v>18</v>
      </c>
      <c r="F573" s="24">
        <v>46217</v>
      </c>
      <c r="G573" s="23" t="s">
        <v>643</v>
      </c>
      <c r="H573" s="26">
        <v>42</v>
      </c>
      <c r="I573" s="24">
        <f t="shared" si="27"/>
        <v>46259</v>
      </c>
      <c r="J573" s="26">
        <f t="shared" ca="1" si="25"/>
        <v>-45</v>
      </c>
      <c r="K573" s="26">
        <f t="shared" ca="1" si="26"/>
        <v>45</v>
      </c>
      <c r="L573" s="27"/>
      <c r="M573" s="26" t="str">
        <f ca="1">IF(L573&lt;&gt;"","Entregado",IF(NOT(ISNUMBER(IF(Q573&lt;&gt;"",Q573,I573))),"REVISAR TE",IF(AND(ISNUMBER(Resumen!$B$3),IF(Q573&lt;&gt;"",Q573,I573)&lt;Resumen!$B$3),"REVISAR",IF(IF(Q573&lt;&gt;"",Q573,I573)&lt;TODAY(),"ATRASADO",IF(IF(Q573&lt;&gt;"",Q573,I573)-TODAY()&lt;=2,"POR VENCER","EN TIEMPO")))))</f>
        <v>ATRASADO</v>
      </c>
      <c r="N573" s="23" t="s">
        <v>94</v>
      </c>
      <c r="P573" s="23" t="s">
        <v>1107</v>
      </c>
      <c r="Q573" s="28"/>
    </row>
    <row r="574" spans="1:17" ht="16.5" x14ac:dyDescent="0.3">
      <c r="A574" s="23" t="s">
        <v>1105</v>
      </c>
      <c r="B574" s="23" t="s">
        <v>57</v>
      </c>
      <c r="C574" s="23" t="s">
        <v>1110</v>
      </c>
      <c r="D574" s="24">
        <v>46217</v>
      </c>
      <c r="E574" s="25">
        <v>17</v>
      </c>
      <c r="F574" s="24">
        <v>46217</v>
      </c>
      <c r="G574" s="23" t="s">
        <v>643</v>
      </c>
      <c r="H574" s="26">
        <v>42</v>
      </c>
      <c r="I574" s="24">
        <f t="shared" si="27"/>
        <v>46259</v>
      </c>
      <c r="J574" s="26">
        <f t="shared" ca="1" si="25"/>
        <v>-45</v>
      </c>
      <c r="K574" s="26">
        <f t="shared" ca="1" si="26"/>
        <v>45</v>
      </c>
      <c r="L574" s="27"/>
      <c r="M574" s="26" t="str">
        <f ca="1">IF(L574&lt;&gt;"","Entregado",IF(NOT(ISNUMBER(IF(Q574&lt;&gt;"",Q574,I574))),"REVISAR TE",IF(AND(ISNUMBER(Resumen!$B$3),IF(Q574&lt;&gt;"",Q574,I574)&lt;Resumen!$B$3),"REVISAR",IF(IF(Q574&lt;&gt;"",Q574,I574)&lt;TODAY(),"ATRASADO",IF(IF(Q574&lt;&gt;"",Q574,I574)-TODAY()&lt;=2,"POR VENCER","EN TIEMPO")))))</f>
        <v>ATRASADO</v>
      </c>
      <c r="N574" s="23" t="s">
        <v>94</v>
      </c>
      <c r="P574" s="23" t="s">
        <v>1107</v>
      </c>
      <c r="Q574" s="28"/>
    </row>
    <row r="575" spans="1:17" ht="16.5" x14ac:dyDescent="0.3">
      <c r="A575" s="23" t="s">
        <v>1105</v>
      </c>
      <c r="B575" s="23" t="s">
        <v>57</v>
      </c>
      <c r="C575" s="23" t="s">
        <v>1111</v>
      </c>
      <c r="D575" s="24">
        <v>46217</v>
      </c>
      <c r="E575" s="25">
        <v>17</v>
      </c>
      <c r="F575" s="24">
        <v>46217</v>
      </c>
      <c r="G575" s="23" t="s">
        <v>643</v>
      </c>
      <c r="H575" s="26">
        <v>42</v>
      </c>
      <c r="I575" s="24">
        <f t="shared" si="27"/>
        <v>46259</v>
      </c>
      <c r="J575" s="26">
        <f t="shared" ca="1" si="25"/>
        <v>-45</v>
      </c>
      <c r="K575" s="26">
        <f t="shared" ca="1" si="26"/>
        <v>45</v>
      </c>
      <c r="L575" s="27"/>
      <c r="M575" s="26" t="str">
        <f ca="1">IF(L575&lt;&gt;"","Entregado",IF(NOT(ISNUMBER(IF(Q575&lt;&gt;"",Q575,I575))),"REVISAR TE",IF(AND(ISNUMBER(Resumen!$B$3),IF(Q575&lt;&gt;"",Q575,I575)&lt;Resumen!$B$3),"REVISAR",IF(IF(Q575&lt;&gt;"",Q575,I575)&lt;TODAY(),"ATRASADO",IF(IF(Q575&lt;&gt;"",Q575,I575)-TODAY()&lt;=2,"POR VENCER","EN TIEMPO")))))</f>
        <v>ATRASADO</v>
      </c>
      <c r="N575" s="23" t="s">
        <v>94</v>
      </c>
      <c r="P575" s="23" t="s">
        <v>1107</v>
      </c>
      <c r="Q575" s="28"/>
    </row>
    <row r="576" spans="1:17" ht="16.5" x14ac:dyDescent="0.3">
      <c r="A576" s="23" t="s">
        <v>1105</v>
      </c>
      <c r="B576" s="23" t="s">
        <v>57</v>
      </c>
      <c r="C576" s="23" t="s">
        <v>1112</v>
      </c>
      <c r="D576" s="24">
        <v>46217</v>
      </c>
      <c r="E576" s="25">
        <v>9</v>
      </c>
      <c r="F576" s="24">
        <v>46217</v>
      </c>
      <c r="G576" s="23" t="s">
        <v>643</v>
      </c>
      <c r="H576" s="26">
        <v>42</v>
      </c>
      <c r="I576" s="24">
        <f t="shared" si="27"/>
        <v>46259</v>
      </c>
      <c r="J576" s="26">
        <f t="shared" ca="1" si="25"/>
        <v>-45</v>
      </c>
      <c r="K576" s="26">
        <f t="shared" ca="1" si="26"/>
        <v>45</v>
      </c>
      <c r="L576" s="27"/>
      <c r="M576" s="26" t="str">
        <f ca="1">IF(L576&lt;&gt;"","Entregado",IF(NOT(ISNUMBER(IF(Q576&lt;&gt;"",Q576,I576))),"REVISAR TE",IF(AND(ISNUMBER(Resumen!$B$3),IF(Q576&lt;&gt;"",Q576,I576)&lt;Resumen!$B$3),"REVISAR",IF(IF(Q576&lt;&gt;"",Q576,I576)&lt;TODAY(),"ATRASADO",IF(IF(Q576&lt;&gt;"",Q576,I576)-TODAY()&lt;=2,"POR VENCER","EN TIEMPO")))))</f>
        <v>ATRASADO</v>
      </c>
      <c r="N576" s="23" t="s">
        <v>94</v>
      </c>
      <c r="P576" s="23" t="s">
        <v>1107</v>
      </c>
      <c r="Q576" s="28"/>
    </row>
    <row r="577" spans="1:17" ht="16.5" x14ac:dyDescent="0.3">
      <c r="A577" s="23" t="s">
        <v>1105</v>
      </c>
      <c r="B577" s="23" t="s">
        <v>57</v>
      </c>
      <c r="C577" s="23" t="s">
        <v>1113</v>
      </c>
      <c r="D577" s="24">
        <v>46217</v>
      </c>
      <c r="E577" s="25">
        <v>8</v>
      </c>
      <c r="F577" s="24">
        <v>46217</v>
      </c>
      <c r="G577" s="23" t="s">
        <v>643</v>
      </c>
      <c r="H577" s="26">
        <v>42</v>
      </c>
      <c r="I577" s="24">
        <f t="shared" si="27"/>
        <v>46259</v>
      </c>
      <c r="J577" s="26">
        <f t="shared" ca="1" si="25"/>
        <v>-45</v>
      </c>
      <c r="K577" s="26">
        <f t="shared" ca="1" si="26"/>
        <v>45</v>
      </c>
      <c r="L577" s="27"/>
      <c r="M577" s="26" t="str">
        <f ca="1">IF(L577&lt;&gt;"","Entregado",IF(NOT(ISNUMBER(IF(Q577&lt;&gt;"",Q577,I577))),"REVISAR TE",IF(AND(ISNUMBER(Resumen!$B$3),IF(Q577&lt;&gt;"",Q577,I577)&lt;Resumen!$B$3),"REVISAR",IF(IF(Q577&lt;&gt;"",Q577,I577)&lt;TODAY(),"ATRASADO",IF(IF(Q577&lt;&gt;"",Q577,I577)-TODAY()&lt;=2,"POR VENCER","EN TIEMPO")))))</f>
        <v>ATRASADO</v>
      </c>
      <c r="N577" s="23" t="s">
        <v>94</v>
      </c>
      <c r="P577" s="23" t="s">
        <v>1107</v>
      </c>
      <c r="Q577" s="28"/>
    </row>
    <row r="578" spans="1:17" ht="16.5" x14ac:dyDescent="0.3">
      <c r="A578" s="23" t="s">
        <v>1105</v>
      </c>
      <c r="B578" s="23" t="s">
        <v>57</v>
      </c>
      <c r="C578" s="23" t="s">
        <v>1114</v>
      </c>
      <c r="D578" s="24">
        <v>46217</v>
      </c>
      <c r="E578" s="25">
        <v>7</v>
      </c>
      <c r="F578" s="24">
        <v>46217</v>
      </c>
      <c r="G578" s="23" t="s">
        <v>643</v>
      </c>
      <c r="H578" s="26">
        <v>42</v>
      </c>
      <c r="I578" s="24">
        <f t="shared" si="27"/>
        <v>46259</v>
      </c>
      <c r="J578" s="26">
        <f t="shared" ref="J578:J641" ca="1" si="28">I578-TODAY()</f>
        <v>-45</v>
      </c>
      <c r="K578" s="26">
        <f t="shared" ref="K578:K641" ca="1" si="29">IF(AND(L578="",ISNUMBER(IF(Q578&lt;&gt;"",Q578,I578))),IF(IF(Q578&lt;&gt;"",Q578,I578)&lt;TODAY(),TODAY()-IF(Q578&lt;&gt;"",Q578,I578),""),"")</f>
        <v>45</v>
      </c>
      <c r="L578" s="27"/>
      <c r="M578" s="26" t="str">
        <f ca="1">IF(L578&lt;&gt;"","Entregado",IF(NOT(ISNUMBER(IF(Q578&lt;&gt;"",Q578,I578))),"REVISAR TE",IF(AND(ISNUMBER(Resumen!$B$3),IF(Q578&lt;&gt;"",Q578,I578)&lt;Resumen!$B$3),"REVISAR",IF(IF(Q578&lt;&gt;"",Q578,I578)&lt;TODAY(),"ATRASADO",IF(IF(Q578&lt;&gt;"",Q578,I578)-TODAY()&lt;=2,"POR VENCER","EN TIEMPO")))))</f>
        <v>ATRASADO</v>
      </c>
      <c r="N578" s="23" t="s">
        <v>94</v>
      </c>
      <c r="P578" s="23" t="s">
        <v>1107</v>
      </c>
      <c r="Q578" s="28"/>
    </row>
    <row r="579" spans="1:17" ht="16.5" x14ac:dyDescent="0.3">
      <c r="A579" s="23" t="s">
        <v>1105</v>
      </c>
      <c r="B579" s="23" t="s">
        <v>57</v>
      </c>
      <c r="C579" s="23" t="s">
        <v>1115</v>
      </c>
      <c r="D579" s="24">
        <v>46217</v>
      </c>
      <c r="E579" s="25">
        <v>7</v>
      </c>
      <c r="F579" s="24">
        <v>46217</v>
      </c>
      <c r="G579" s="23" t="s">
        <v>643</v>
      </c>
      <c r="H579" s="26">
        <v>42</v>
      </c>
      <c r="I579" s="24">
        <f t="shared" si="27"/>
        <v>46259</v>
      </c>
      <c r="J579" s="26">
        <f t="shared" ca="1" si="28"/>
        <v>-45</v>
      </c>
      <c r="K579" s="26">
        <f t="shared" ca="1" si="29"/>
        <v>45</v>
      </c>
      <c r="L579" s="27"/>
      <c r="M579" s="26" t="str">
        <f ca="1">IF(L579&lt;&gt;"","Entregado",IF(NOT(ISNUMBER(IF(Q579&lt;&gt;"",Q579,I579))),"REVISAR TE",IF(AND(ISNUMBER(Resumen!$B$3),IF(Q579&lt;&gt;"",Q579,I579)&lt;Resumen!$B$3),"REVISAR",IF(IF(Q579&lt;&gt;"",Q579,I579)&lt;TODAY(),"ATRASADO",IF(IF(Q579&lt;&gt;"",Q579,I579)-TODAY()&lt;=2,"POR VENCER","EN TIEMPO")))))</f>
        <v>ATRASADO</v>
      </c>
      <c r="N579" s="23" t="s">
        <v>94</v>
      </c>
      <c r="P579" s="23" t="s">
        <v>1107</v>
      </c>
      <c r="Q579" s="28"/>
    </row>
    <row r="580" spans="1:17" ht="16.5" x14ac:dyDescent="0.3">
      <c r="A580" s="23" t="s">
        <v>1105</v>
      </c>
      <c r="B580" s="23" t="s">
        <v>57</v>
      </c>
      <c r="C580" s="23" t="s">
        <v>1116</v>
      </c>
      <c r="D580" s="24">
        <v>46217</v>
      </c>
      <c r="E580" s="25">
        <v>6</v>
      </c>
      <c r="F580" s="24">
        <v>46217</v>
      </c>
      <c r="G580" s="23" t="s">
        <v>643</v>
      </c>
      <c r="H580" s="26">
        <v>42</v>
      </c>
      <c r="I580" s="24">
        <f t="shared" si="27"/>
        <v>46259</v>
      </c>
      <c r="J580" s="26">
        <f t="shared" ca="1" si="28"/>
        <v>-45</v>
      </c>
      <c r="K580" s="26">
        <f t="shared" ca="1" si="29"/>
        <v>45</v>
      </c>
      <c r="L580" s="27"/>
      <c r="M580" s="26" t="str">
        <f ca="1">IF(L580&lt;&gt;"","Entregado",IF(NOT(ISNUMBER(IF(Q580&lt;&gt;"",Q580,I580))),"REVISAR TE",IF(AND(ISNUMBER(Resumen!$B$3),IF(Q580&lt;&gt;"",Q580,I580)&lt;Resumen!$B$3),"REVISAR",IF(IF(Q580&lt;&gt;"",Q580,I580)&lt;TODAY(),"ATRASADO",IF(IF(Q580&lt;&gt;"",Q580,I580)-TODAY()&lt;=2,"POR VENCER","EN TIEMPO")))))</f>
        <v>ATRASADO</v>
      </c>
      <c r="N580" s="23" t="s">
        <v>94</v>
      </c>
      <c r="P580" s="23" t="s">
        <v>1107</v>
      </c>
      <c r="Q580" s="28"/>
    </row>
    <row r="581" spans="1:17" ht="16.5" x14ac:dyDescent="0.3">
      <c r="A581" s="23" t="s">
        <v>1105</v>
      </c>
      <c r="B581" s="23" t="s">
        <v>57</v>
      </c>
      <c r="C581" s="23" t="s">
        <v>1117</v>
      </c>
      <c r="D581" s="24">
        <v>46217</v>
      </c>
      <c r="E581" s="25">
        <v>6</v>
      </c>
      <c r="F581" s="24">
        <v>46217</v>
      </c>
      <c r="G581" s="23" t="s">
        <v>643</v>
      </c>
      <c r="H581" s="26">
        <v>42</v>
      </c>
      <c r="I581" s="24">
        <f t="shared" si="27"/>
        <v>46259</v>
      </c>
      <c r="J581" s="26">
        <f t="shared" ca="1" si="28"/>
        <v>-45</v>
      </c>
      <c r="K581" s="26">
        <f t="shared" ca="1" si="29"/>
        <v>45</v>
      </c>
      <c r="L581" s="27"/>
      <c r="M581" s="26" t="str">
        <f ca="1">IF(L581&lt;&gt;"","Entregado",IF(NOT(ISNUMBER(IF(Q581&lt;&gt;"",Q581,I581))),"REVISAR TE",IF(AND(ISNUMBER(Resumen!$B$3),IF(Q581&lt;&gt;"",Q581,I581)&lt;Resumen!$B$3),"REVISAR",IF(IF(Q581&lt;&gt;"",Q581,I581)&lt;TODAY(),"ATRASADO",IF(IF(Q581&lt;&gt;"",Q581,I581)-TODAY()&lt;=2,"POR VENCER","EN TIEMPO")))))</f>
        <v>ATRASADO</v>
      </c>
      <c r="N581" s="23" t="s">
        <v>94</v>
      </c>
      <c r="P581" s="23" t="s">
        <v>1107</v>
      </c>
      <c r="Q581" s="28"/>
    </row>
    <row r="582" spans="1:17" ht="16.5" x14ac:dyDescent="0.3">
      <c r="A582" s="23" t="s">
        <v>1105</v>
      </c>
      <c r="B582" s="23" t="s">
        <v>57</v>
      </c>
      <c r="C582" s="23" t="s">
        <v>1118</v>
      </c>
      <c r="D582" s="24">
        <v>46217</v>
      </c>
      <c r="E582" s="25">
        <v>6</v>
      </c>
      <c r="F582" s="24">
        <v>46217</v>
      </c>
      <c r="G582" s="23" t="s">
        <v>643</v>
      </c>
      <c r="H582" s="26">
        <v>42</v>
      </c>
      <c r="I582" s="24">
        <f t="shared" si="27"/>
        <v>46259</v>
      </c>
      <c r="J582" s="26">
        <f t="shared" ca="1" si="28"/>
        <v>-45</v>
      </c>
      <c r="K582" s="26">
        <f t="shared" ca="1" si="29"/>
        <v>45</v>
      </c>
      <c r="L582" s="27"/>
      <c r="M582" s="26" t="str">
        <f ca="1">IF(L582&lt;&gt;"","Entregado",IF(NOT(ISNUMBER(IF(Q582&lt;&gt;"",Q582,I582))),"REVISAR TE",IF(AND(ISNUMBER(Resumen!$B$3),IF(Q582&lt;&gt;"",Q582,I582)&lt;Resumen!$B$3),"REVISAR",IF(IF(Q582&lt;&gt;"",Q582,I582)&lt;TODAY(),"ATRASADO",IF(IF(Q582&lt;&gt;"",Q582,I582)-TODAY()&lt;=2,"POR VENCER","EN TIEMPO")))))</f>
        <v>ATRASADO</v>
      </c>
      <c r="N582" s="23" t="s">
        <v>94</v>
      </c>
      <c r="P582" s="23" t="s">
        <v>1107</v>
      </c>
      <c r="Q582" s="28"/>
    </row>
    <row r="583" spans="1:17" ht="16.5" x14ac:dyDescent="0.3">
      <c r="A583" s="23" t="s">
        <v>1105</v>
      </c>
      <c r="B583" s="23" t="s">
        <v>57</v>
      </c>
      <c r="C583" s="23" t="s">
        <v>1119</v>
      </c>
      <c r="D583" s="24">
        <v>46217</v>
      </c>
      <c r="E583" s="25">
        <v>5</v>
      </c>
      <c r="F583" s="24">
        <v>46217</v>
      </c>
      <c r="G583" s="23" t="s">
        <v>643</v>
      </c>
      <c r="H583" s="26">
        <v>42</v>
      </c>
      <c r="I583" s="24">
        <f t="shared" si="27"/>
        <v>46259</v>
      </c>
      <c r="J583" s="26">
        <f t="shared" ca="1" si="28"/>
        <v>-45</v>
      </c>
      <c r="K583" s="26">
        <f t="shared" ca="1" si="29"/>
        <v>45</v>
      </c>
      <c r="L583" s="27"/>
      <c r="M583" s="26" t="str">
        <f ca="1">IF(L583&lt;&gt;"","Entregado",IF(NOT(ISNUMBER(IF(Q583&lt;&gt;"",Q583,I583))),"REVISAR TE",IF(AND(ISNUMBER(Resumen!$B$3),IF(Q583&lt;&gt;"",Q583,I583)&lt;Resumen!$B$3),"REVISAR",IF(IF(Q583&lt;&gt;"",Q583,I583)&lt;TODAY(),"ATRASADO",IF(IF(Q583&lt;&gt;"",Q583,I583)-TODAY()&lt;=2,"POR VENCER","EN TIEMPO")))))</f>
        <v>ATRASADO</v>
      </c>
      <c r="N583" s="23" t="s">
        <v>94</v>
      </c>
      <c r="P583" s="23" t="s">
        <v>1107</v>
      </c>
      <c r="Q583" s="28"/>
    </row>
    <row r="584" spans="1:17" ht="16.5" x14ac:dyDescent="0.3">
      <c r="A584" s="23" t="s">
        <v>1105</v>
      </c>
      <c r="B584" s="23" t="s">
        <v>57</v>
      </c>
      <c r="C584" s="23" t="s">
        <v>1120</v>
      </c>
      <c r="D584" s="24">
        <v>46217</v>
      </c>
      <c r="E584" s="25">
        <v>5</v>
      </c>
      <c r="F584" s="24">
        <v>46217</v>
      </c>
      <c r="G584" s="23" t="s">
        <v>643</v>
      </c>
      <c r="H584" s="26">
        <v>42</v>
      </c>
      <c r="I584" s="24">
        <f t="shared" si="27"/>
        <v>46259</v>
      </c>
      <c r="J584" s="26">
        <f t="shared" ca="1" si="28"/>
        <v>-45</v>
      </c>
      <c r="K584" s="26">
        <f t="shared" ca="1" si="29"/>
        <v>45</v>
      </c>
      <c r="L584" s="27"/>
      <c r="M584" s="26" t="str">
        <f ca="1">IF(L584&lt;&gt;"","Entregado",IF(NOT(ISNUMBER(IF(Q584&lt;&gt;"",Q584,I584))),"REVISAR TE",IF(AND(ISNUMBER(Resumen!$B$3),IF(Q584&lt;&gt;"",Q584,I584)&lt;Resumen!$B$3),"REVISAR",IF(IF(Q584&lt;&gt;"",Q584,I584)&lt;TODAY(),"ATRASADO",IF(IF(Q584&lt;&gt;"",Q584,I584)-TODAY()&lt;=2,"POR VENCER","EN TIEMPO")))))</f>
        <v>ATRASADO</v>
      </c>
      <c r="N584" s="23" t="s">
        <v>94</v>
      </c>
      <c r="P584" s="23" t="s">
        <v>1107</v>
      </c>
      <c r="Q584" s="28"/>
    </row>
    <row r="585" spans="1:17" ht="16.5" x14ac:dyDescent="0.3">
      <c r="A585" s="23" t="s">
        <v>1105</v>
      </c>
      <c r="B585" s="23" t="s">
        <v>57</v>
      </c>
      <c r="C585" s="23" t="s">
        <v>1121</v>
      </c>
      <c r="D585" s="24">
        <v>46217</v>
      </c>
      <c r="E585" s="25">
        <v>5</v>
      </c>
      <c r="F585" s="24">
        <v>46217</v>
      </c>
      <c r="G585" s="23" t="s">
        <v>643</v>
      </c>
      <c r="H585" s="26">
        <v>42</v>
      </c>
      <c r="I585" s="24">
        <f t="shared" ref="I585:I648" si="30">IF(AND(D585&lt;&gt;"",H585&lt;&gt;""),D585+H585,"")</f>
        <v>46259</v>
      </c>
      <c r="J585" s="26">
        <f t="shared" ca="1" si="28"/>
        <v>-45</v>
      </c>
      <c r="K585" s="26">
        <f t="shared" ca="1" si="29"/>
        <v>45</v>
      </c>
      <c r="L585" s="27"/>
      <c r="M585" s="26" t="str">
        <f ca="1">IF(L585&lt;&gt;"","Entregado",IF(NOT(ISNUMBER(IF(Q585&lt;&gt;"",Q585,I585))),"REVISAR TE",IF(AND(ISNUMBER(Resumen!$B$3),IF(Q585&lt;&gt;"",Q585,I585)&lt;Resumen!$B$3),"REVISAR",IF(IF(Q585&lt;&gt;"",Q585,I585)&lt;TODAY(),"ATRASADO",IF(IF(Q585&lt;&gt;"",Q585,I585)-TODAY()&lt;=2,"POR VENCER","EN TIEMPO")))))</f>
        <v>ATRASADO</v>
      </c>
      <c r="N585" s="23" t="s">
        <v>94</v>
      </c>
      <c r="P585" s="23" t="s">
        <v>1107</v>
      </c>
      <c r="Q585" s="28"/>
    </row>
    <row r="586" spans="1:17" ht="16.5" x14ac:dyDescent="0.3">
      <c r="A586" s="23" t="s">
        <v>1105</v>
      </c>
      <c r="B586" s="23" t="s">
        <v>57</v>
      </c>
      <c r="C586" s="23" t="s">
        <v>1122</v>
      </c>
      <c r="D586" s="24">
        <v>46217</v>
      </c>
      <c r="E586" s="25">
        <v>5</v>
      </c>
      <c r="F586" s="24">
        <v>46217</v>
      </c>
      <c r="G586" s="23" t="s">
        <v>643</v>
      </c>
      <c r="H586" s="26">
        <v>42</v>
      </c>
      <c r="I586" s="24">
        <f t="shared" si="30"/>
        <v>46259</v>
      </c>
      <c r="J586" s="26">
        <f t="shared" ca="1" si="28"/>
        <v>-45</v>
      </c>
      <c r="K586" s="26">
        <f t="shared" ca="1" si="29"/>
        <v>45</v>
      </c>
      <c r="L586" s="27"/>
      <c r="M586" s="26" t="str">
        <f ca="1">IF(L586&lt;&gt;"","Entregado",IF(NOT(ISNUMBER(IF(Q586&lt;&gt;"",Q586,I586))),"REVISAR TE",IF(AND(ISNUMBER(Resumen!$B$3),IF(Q586&lt;&gt;"",Q586,I586)&lt;Resumen!$B$3),"REVISAR",IF(IF(Q586&lt;&gt;"",Q586,I586)&lt;TODAY(),"ATRASADO",IF(IF(Q586&lt;&gt;"",Q586,I586)-TODAY()&lt;=2,"POR VENCER","EN TIEMPO")))))</f>
        <v>ATRASADO</v>
      </c>
      <c r="N586" s="23" t="s">
        <v>94</v>
      </c>
      <c r="P586" s="23" t="s">
        <v>1107</v>
      </c>
      <c r="Q586" s="28"/>
    </row>
    <row r="587" spans="1:17" ht="16.5" x14ac:dyDescent="0.3">
      <c r="A587" s="23" t="s">
        <v>1105</v>
      </c>
      <c r="B587" s="23" t="s">
        <v>57</v>
      </c>
      <c r="C587" s="23" t="s">
        <v>1123</v>
      </c>
      <c r="D587" s="24">
        <v>46217</v>
      </c>
      <c r="E587" s="25">
        <v>5</v>
      </c>
      <c r="F587" s="24">
        <v>46217</v>
      </c>
      <c r="G587" s="23" t="s">
        <v>643</v>
      </c>
      <c r="H587" s="26">
        <v>42</v>
      </c>
      <c r="I587" s="24">
        <f t="shared" si="30"/>
        <v>46259</v>
      </c>
      <c r="J587" s="26">
        <f t="shared" ca="1" si="28"/>
        <v>-45</v>
      </c>
      <c r="K587" s="26">
        <f t="shared" ca="1" si="29"/>
        <v>45</v>
      </c>
      <c r="L587" s="27"/>
      <c r="M587" s="26" t="str">
        <f ca="1">IF(L587&lt;&gt;"","Entregado",IF(NOT(ISNUMBER(IF(Q587&lt;&gt;"",Q587,I587))),"REVISAR TE",IF(AND(ISNUMBER(Resumen!$B$3),IF(Q587&lt;&gt;"",Q587,I587)&lt;Resumen!$B$3),"REVISAR",IF(IF(Q587&lt;&gt;"",Q587,I587)&lt;TODAY(),"ATRASADO",IF(IF(Q587&lt;&gt;"",Q587,I587)-TODAY()&lt;=2,"POR VENCER","EN TIEMPO")))))</f>
        <v>ATRASADO</v>
      </c>
      <c r="N587" s="23" t="s">
        <v>94</v>
      </c>
      <c r="P587" s="23" t="s">
        <v>1107</v>
      </c>
      <c r="Q587" s="28"/>
    </row>
    <row r="588" spans="1:17" ht="16.5" x14ac:dyDescent="0.3">
      <c r="A588" s="23" t="s">
        <v>1105</v>
      </c>
      <c r="B588" s="23" t="s">
        <v>57</v>
      </c>
      <c r="C588" s="23" t="s">
        <v>1124</v>
      </c>
      <c r="D588" s="24">
        <v>46217</v>
      </c>
      <c r="E588" s="25">
        <v>4</v>
      </c>
      <c r="F588" s="24">
        <v>46217</v>
      </c>
      <c r="G588" s="23" t="s">
        <v>643</v>
      </c>
      <c r="H588" s="26">
        <v>42</v>
      </c>
      <c r="I588" s="24">
        <f t="shared" si="30"/>
        <v>46259</v>
      </c>
      <c r="J588" s="26">
        <f t="shared" ca="1" si="28"/>
        <v>-45</v>
      </c>
      <c r="K588" s="26">
        <f t="shared" ca="1" si="29"/>
        <v>45</v>
      </c>
      <c r="L588" s="27"/>
      <c r="M588" s="26" t="str">
        <f ca="1">IF(L588&lt;&gt;"","Entregado",IF(NOT(ISNUMBER(IF(Q588&lt;&gt;"",Q588,I588))),"REVISAR TE",IF(AND(ISNUMBER(Resumen!$B$3),IF(Q588&lt;&gt;"",Q588,I588)&lt;Resumen!$B$3),"REVISAR",IF(IF(Q588&lt;&gt;"",Q588,I588)&lt;TODAY(),"ATRASADO",IF(IF(Q588&lt;&gt;"",Q588,I588)-TODAY()&lt;=2,"POR VENCER","EN TIEMPO")))))</f>
        <v>ATRASADO</v>
      </c>
      <c r="N588" s="23" t="s">
        <v>94</v>
      </c>
      <c r="P588" s="23" t="s">
        <v>1107</v>
      </c>
      <c r="Q588" s="28"/>
    </row>
    <row r="589" spans="1:17" ht="16.5" x14ac:dyDescent="0.3">
      <c r="A589" s="23" t="s">
        <v>1105</v>
      </c>
      <c r="B589" s="23" t="s">
        <v>57</v>
      </c>
      <c r="C589" s="23" t="s">
        <v>1125</v>
      </c>
      <c r="D589" s="24">
        <v>46217</v>
      </c>
      <c r="E589" s="25">
        <v>4</v>
      </c>
      <c r="F589" s="24">
        <v>46217</v>
      </c>
      <c r="G589" s="23" t="s">
        <v>643</v>
      </c>
      <c r="H589" s="26">
        <v>42</v>
      </c>
      <c r="I589" s="24">
        <f t="shared" si="30"/>
        <v>46259</v>
      </c>
      <c r="J589" s="26">
        <f t="shared" ca="1" si="28"/>
        <v>-45</v>
      </c>
      <c r="K589" s="26">
        <f t="shared" ca="1" si="29"/>
        <v>45</v>
      </c>
      <c r="L589" s="27"/>
      <c r="M589" s="26" t="str">
        <f ca="1">IF(L589&lt;&gt;"","Entregado",IF(NOT(ISNUMBER(IF(Q589&lt;&gt;"",Q589,I589))),"REVISAR TE",IF(AND(ISNUMBER(Resumen!$B$3),IF(Q589&lt;&gt;"",Q589,I589)&lt;Resumen!$B$3),"REVISAR",IF(IF(Q589&lt;&gt;"",Q589,I589)&lt;TODAY(),"ATRASADO",IF(IF(Q589&lt;&gt;"",Q589,I589)-TODAY()&lt;=2,"POR VENCER","EN TIEMPO")))))</f>
        <v>ATRASADO</v>
      </c>
      <c r="N589" s="23" t="s">
        <v>94</v>
      </c>
      <c r="P589" s="23" t="s">
        <v>1107</v>
      </c>
      <c r="Q589" s="28"/>
    </row>
    <row r="590" spans="1:17" ht="16.5" x14ac:dyDescent="0.3">
      <c r="A590" s="23" t="s">
        <v>1105</v>
      </c>
      <c r="B590" s="23" t="s">
        <v>57</v>
      </c>
      <c r="C590" s="23" t="s">
        <v>1126</v>
      </c>
      <c r="D590" s="24">
        <v>46217</v>
      </c>
      <c r="E590" s="25">
        <v>4</v>
      </c>
      <c r="F590" s="24">
        <v>46217</v>
      </c>
      <c r="G590" s="23" t="s">
        <v>643</v>
      </c>
      <c r="H590" s="26">
        <v>42</v>
      </c>
      <c r="I590" s="24">
        <f t="shared" si="30"/>
        <v>46259</v>
      </c>
      <c r="J590" s="26">
        <f t="shared" ca="1" si="28"/>
        <v>-45</v>
      </c>
      <c r="K590" s="26">
        <f t="shared" ca="1" si="29"/>
        <v>45</v>
      </c>
      <c r="L590" s="27"/>
      <c r="M590" s="26" t="str">
        <f ca="1">IF(L590&lt;&gt;"","Entregado",IF(NOT(ISNUMBER(IF(Q590&lt;&gt;"",Q590,I590))),"REVISAR TE",IF(AND(ISNUMBER(Resumen!$B$3),IF(Q590&lt;&gt;"",Q590,I590)&lt;Resumen!$B$3),"REVISAR",IF(IF(Q590&lt;&gt;"",Q590,I590)&lt;TODAY(),"ATRASADO",IF(IF(Q590&lt;&gt;"",Q590,I590)-TODAY()&lt;=2,"POR VENCER","EN TIEMPO")))))</f>
        <v>ATRASADO</v>
      </c>
      <c r="N590" s="23" t="s">
        <v>94</v>
      </c>
      <c r="P590" s="23" t="s">
        <v>1107</v>
      </c>
      <c r="Q590" s="28"/>
    </row>
    <row r="591" spans="1:17" ht="16.5" x14ac:dyDescent="0.3">
      <c r="A591" s="23" t="s">
        <v>1105</v>
      </c>
      <c r="B591" s="23" t="s">
        <v>57</v>
      </c>
      <c r="C591" s="23" t="s">
        <v>1127</v>
      </c>
      <c r="D591" s="24">
        <v>46217</v>
      </c>
      <c r="E591" s="25">
        <v>4</v>
      </c>
      <c r="F591" s="24">
        <v>46217</v>
      </c>
      <c r="G591" s="23" t="s">
        <v>643</v>
      </c>
      <c r="H591" s="26">
        <v>42</v>
      </c>
      <c r="I591" s="24">
        <f t="shared" si="30"/>
        <v>46259</v>
      </c>
      <c r="J591" s="26">
        <f t="shared" ca="1" si="28"/>
        <v>-45</v>
      </c>
      <c r="K591" s="26">
        <f t="shared" ca="1" si="29"/>
        <v>45</v>
      </c>
      <c r="L591" s="27"/>
      <c r="M591" s="26" t="str">
        <f ca="1">IF(L591&lt;&gt;"","Entregado",IF(NOT(ISNUMBER(IF(Q591&lt;&gt;"",Q591,I591))),"REVISAR TE",IF(AND(ISNUMBER(Resumen!$B$3),IF(Q591&lt;&gt;"",Q591,I591)&lt;Resumen!$B$3),"REVISAR",IF(IF(Q591&lt;&gt;"",Q591,I591)&lt;TODAY(),"ATRASADO",IF(IF(Q591&lt;&gt;"",Q591,I591)-TODAY()&lt;=2,"POR VENCER","EN TIEMPO")))))</f>
        <v>ATRASADO</v>
      </c>
      <c r="N591" s="23" t="s">
        <v>94</v>
      </c>
      <c r="P591" s="23" t="s">
        <v>1107</v>
      </c>
      <c r="Q591" s="28"/>
    </row>
    <row r="592" spans="1:17" ht="16.5" x14ac:dyDescent="0.3">
      <c r="A592" s="23" t="s">
        <v>1105</v>
      </c>
      <c r="B592" s="23" t="s">
        <v>57</v>
      </c>
      <c r="C592" s="23" t="s">
        <v>1128</v>
      </c>
      <c r="D592" s="24">
        <v>46217</v>
      </c>
      <c r="E592" s="25">
        <v>4</v>
      </c>
      <c r="F592" s="24">
        <v>46217</v>
      </c>
      <c r="G592" s="23" t="s">
        <v>643</v>
      </c>
      <c r="H592" s="26">
        <v>42</v>
      </c>
      <c r="I592" s="24">
        <f t="shared" si="30"/>
        <v>46259</v>
      </c>
      <c r="J592" s="26">
        <f t="shared" ca="1" si="28"/>
        <v>-45</v>
      </c>
      <c r="K592" s="26">
        <f t="shared" ca="1" si="29"/>
        <v>45</v>
      </c>
      <c r="L592" s="27"/>
      <c r="M592" s="26" t="str">
        <f ca="1">IF(L592&lt;&gt;"","Entregado",IF(NOT(ISNUMBER(IF(Q592&lt;&gt;"",Q592,I592))),"REVISAR TE",IF(AND(ISNUMBER(Resumen!$B$3),IF(Q592&lt;&gt;"",Q592,I592)&lt;Resumen!$B$3),"REVISAR",IF(IF(Q592&lt;&gt;"",Q592,I592)&lt;TODAY(),"ATRASADO",IF(IF(Q592&lt;&gt;"",Q592,I592)-TODAY()&lt;=2,"POR VENCER","EN TIEMPO")))))</f>
        <v>ATRASADO</v>
      </c>
      <c r="N592" s="23" t="s">
        <v>94</v>
      </c>
      <c r="P592" s="23" t="s">
        <v>1107</v>
      </c>
      <c r="Q592" s="28"/>
    </row>
    <row r="593" spans="1:17" ht="16.5" x14ac:dyDescent="0.3">
      <c r="A593" s="23" t="s">
        <v>1105</v>
      </c>
      <c r="B593" s="23" t="s">
        <v>57</v>
      </c>
      <c r="C593" s="23" t="s">
        <v>1129</v>
      </c>
      <c r="D593" s="24">
        <v>46217</v>
      </c>
      <c r="E593" s="25">
        <v>4</v>
      </c>
      <c r="F593" s="24">
        <v>46217</v>
      </c>
      <c r="G593" s="23" t="s">
        <v>643</v>
      </c>
      <c r="H593" s="26">
        <v>42</v>
      </c>
      <c r="I593" s="24">
        <f t="shared" si="30"/>
        <v>46259</v>
      </c>
      <c r="J593" s="26">
        <f t="shared" ca="1" si="28"/>
        <v>-45</v>
      </c>
      <c r="K593" s="26">
        <f t="shared" ca="1" si="29"/>
        <v>45</v>
      </c>
      <c r="L593" s="27"/>
      <c r="M593" s="26" t="str">
        <f ca="1">IF(L593&lt;&gt;"","Entregado",IF(NOT(ISNUMBER(IF(Q593&lt;&gt;"",Q593,I593))),"REVISAR TE",IF(AND(ISNUMBER(Resumen!$B$3),IF(Q593&lt;&gt;"",Q593,I593)&lt;Resumen!$B$3),"REVISAR",IF(IF(Q593&lt;&gt;"",Q593,I593)&lt;TODAY(),"ATRASADO",IF(IF(Q593&lt;&gt;"",Q593,I593)-TODAY()&lt;=2,"POR VENCER","EN TIEMPO")))))</f>
        <v>ATRASADO</v>
      </c>
      <c r="N593" s="23" t="s">
        <v>94</v>
      </c>
      <c r="P593" s="23" t="s">
        <v>1107</v>
      </c>
      <c r="Q593" s="28"/>
    </row>
    <row r="594" spans="1:17" ht="16.5" x14ac:dyDescent="0.3">
      <c r="A594" s="23" t="s">
        <v>1105</v>
      </c>
      <c r="B594" s="23" t="s">
        <v>57</v>
      </c>
      <c r="C594" s="23" t="s">
        <v>1130</v>
      </c>
      <c r="D594" s="24">
        <v>46217</v>
      </c>
      <c r="E594" s="25">
        <v>3</v>
      </c>
      <c r="F594" s="24">
        <v>46217</v>
      </c>
      <c r="G594" s="23" t="s">
        <v>643</v>
      </c>
      <c r="H594" s="26">
        <v>42</v>
      </c>
      <c r="I594" s="24">
        <f t="shared" si="30"/>
        <v>46259</v>
      </c>
      <c r="J594" s="26">
        <f t="shared" ca="1" si="28"/>
        <v>-45</v>
      </c>
      <c r="K594" s="26">
        <f t="shared" ca="1" si="29"/>
        <v>45</v>
      </c>
      <c r="L594" s="27"/>
      <c r="M594" s="26" t="str">
        <f ca="1">IF(L594&lt;&gt;"","Entregado",IF(NOT(ISNUMBER(IF(Q594&lt;&gt;"",Q594,I594))),"REVISAR TE",IF(AND(ISNUMBER(Resumen!$B$3),IF(Q594&lt;&gt;"",Q594,I594)&lt;Resumen!$B$3),"REVISAR",IF(IF(Q594&lt;&gt;"",Q594,I594)&lt;TODAY(),"ATRASADO",IF(IF(Q594&lt;&gt;"",Q594,I594)-TODAY()&lt;=2,"POR VENCER","EN TIEMPO")))))</f>
        <v>ATRASADO</v>
      </c>
      <c r="N594" s="23" t="s">
        <v>94</v>
      </c>
      <c r="P594" s="23" t="s">
        <v>1107</v>
      </c>
      <c r="Q594" s="28"/>
    </row>
    <row r="595" spans="1:17" ht="16.5" x14ac:dyDescent="0.3">
      <c r="A595" s="23" t="s">
        <v>1105</v>
      </c>
      <c r="B595" s="23" t="s">
        <v>57</v>
      </c>
      <c r="C595" s="23" t="s">
        <v>1131</v>
      </c>
      <c r="D595" s="24">
        <v>46217</v>
      </c>
      <c r="E595" s="25">
        <v>2</v>
      </c>
      <c r="F595" s="24">
        <v>46217</v>
      </c>
      <c r="G595" s="23" t="s">
        <v>643</v>
      </c>
      <c r="H595" s="26">
        <v>42</v>
      </c>
      <c r="I595" s="24">
        <f t="shared" si="30"/>
        <v>46259</v>
      </c>
      <c r="J595" s="26">
        <f t="shared" ca="1" si="28"/>
        <v>-45</v>
      </c>
      <c r="K595" s="26">
        <f t="shared" ca="1" si="29"/>
        <v>45</v>
      </c>
      <c r="L595" s="27"/>
      <c r="M595" s="26" t="str">
        <f ca="1">IF(L595&lt;&gt;"","Entregado",IF(NOT(ISNUMBER(IF(Q595&lt;&gt;"",Q595,I595))),"REVISAR TE",IF(AND(ISNUMBER(Resumen!$B$3),IF(Q595&lt;&gt;"",Q595,I595)&lt;Resumen!$B$3),"REVISAR",IF(IF(Q595&lt;&gt;"",Q595,I595)&lt;TODAY(),"ATRASADO",IF(IF(Q595&lt;&gt;"",Q595,I595)-TODAY()&lt;=2,"POR VENCER","EN TIEMPO")))))</f>
        <v>ATRASADO</v>
      </c>
      <c r="N595" s="23" t="s">
        <v>94</v>
      </c>
      <c r="P595" s="23" t="s">
        <v>1107</v>
      </c>
      <c r="Q595" s="28"/>
    </row>
    <row r="596" spans="1:17" ht="16.5" x14ac:dyDescent="0.3">
      <c r="A596" s="23" t="s">
        <v>1105</v>
      </c>
      <c r="B596" s="23" t="s">
        <v>57</v>
      </c>
      <c r="C596" s="23" t="s">
        <v>1132</v>
      </c>
      <c r="D596" s="24">
        <v>46217</v>
      </c>
      <c r="E596" s="25">
        <v>1</v>
      </c>
      <c r="F596" s="24">
        <v>46217</v>
      </c>
      <c r="G596" s="23" t="s">
        <v>643</v>
      </c>
      <c r="H596" s="26">
        <v>42</v>
      </c>
      <c r="I596" s="24">
        <f t="shared" si="30"/>
        <v>46259</v>
      </c>
      <c r="J596" s="26">
        <f t="shared" ca="1" si="28"/>
        <v>-45</v>
      </c>
      <c r="K596" s="26">
        <f t="shared" ca="1" si="29"/>
        <v>45</v>
      </c>
      <c r="L596" s="27"/>
      <c r="M596" s="26" t="str">
        <f ca="1">IF(L596&lt;&gt;"","Entregado",IF(NOT(ISNUMBER(IF(Q596&lt;&gt;"",Q596,I596))),"REVISAR TE",IF(AND(ISNUMBER(Resumen!$B$3),IF(Q596&lt;&gt;"",Q596,I596)&lt;Resumen!$B$3),"REVISAR",IF(IF(Q596&lt;&gt;"",Q596,I596)&lt;TODAY(),"ATRASADO",IF(IF(Q596&lt;&gt;"",Q596,I596)-TODAY()&lt;=2,"POR VENCER","EN TIEMPO")))))</f>
        <v>ATRASADO</v>
      </c>
      <c r="N596" s="23" t="s">
        <v>94</v>
      </c>
      <c r="P596" s="23" t="s">
        <v>1107</v>
      </c>
      <c r="Q596" s="28"/>
    </row>
    <row r="597" spans="1:17" ht="16.5" x14ac:dyDescent="0.3">
      <c r="A597" s="23" t="s">
        <v>1105</v>
      </c>
      <c r="B597" s="23" t="s">
        <v>57</v>
      </c>
      <c r="C597" s="23" t="s">
        <v>1133</v>
      </c>
      <c r="D597" s="24">
        <v>46217</v>
      </c>
      <c r="E597" s="25">
        <v>1</v>
      </c>
      <c r="F597" s="24">
        <v>46217</v>
      </c>
      <c r="G597" s="23" t="s">
        <v>643</v>
      </c>
      <c r="H597" s="26">
        <v>42</v>
      </c>
      <c r="I597" s="24">
        <f t="shared" si="30"/>
        <v>46259</v>
      </c>
      <c r="J597" s="26">
        <f t="shared" ca="1" si="28"/>
        <v>-45</v>
      </c>
      <c r="K597" s="26">
        <f t="shared" ca="1" si="29"/>
        <v>45</v>
      </c>
      <c r="L597" s="27"/>
      <c r="M597" s="26" t="str">
        <f ca="1">IF(L597&lt;&gt;"","Entregado",IF(NOT(ISNUMBER(IF(Q597&lt;&gt;"",Q597,I597))),"REVISAR TE",IF(AND(ISNUMBER(Resumen!$B$3),IF(Q597&lt;&gt;"",Q597,I597)&lt;Resumen!$B$3),"REVISAR",IF(IF(Q597&lt;&gt;"",Q597,I597)&lt;TODAY(),"ATRASADO",IF(IF(Q597&lt;&gt;"",Q597,I597)-TODAY()&lt;=2,"POR VENCER","EN TIEMPO")))))</f>
        <v>ATRASADO</v>
      </c>
      <c r="N597" s="23" t="s">
        <v>94</v>
      </c>
      <c r="P597" s="23" t="s">
        <v>1107</v>
      </c>
      <c r="Q597" s="28"/>
    </row>
    <row r="598" spans="1:17" ht="16.5" hidden="1" x14ac:dyDescent="0.3">
      <c r="A598" s="23" t="s">
        <v>1134</v>
      </c>
      <c r="B598" s="23" t="s">
        <v>52</v>
      </c>
      <c r="C598" s="23" t="s">
        <v>1135</v>
      </c>
      <c r="D598" s="24">
        <v>46217</v>
      </c>
      <c r="E598" s="25">
        <v>1</v>
      </c>
      <c r="F598" s="24">
        <v>46217</v>
      </c>
      <c r="G598" s="23" t="s">
        <v>411</v>
      </c>
      <c r="H598" s="26">
        <v>3</v>
      </c>
      <c r="I598" s="24">
        <f t="shared" si="30"/>
        <v>46220</v>
      </c>
      <c r="J598" s="26">
        <f t="shared" ca="1" si="28"/>
        <v>-84</v>
      </c>
      <c r="K598" s="26" t="str">
        <f t="shared" ca="1" si="29"/>
        <v/>
      </c>
      <c r="L598" s="27" t="s">
        <v>1567</v>
      </c>
      <c r="M598" s="26" t="str">
        <f ca="1">IF(L598&lt;&gt;"","Entregado",IF(NOT(ISNUMBER(IF(Q598&lt;&gt;"",Q598,I598))),"REVISAR TE",IF(AND(ISNUMBER(Resumen!$B$3),IF(Q598&lt;&gt;"",Q598,I598)&lt;Resumen!$B$3),"REVISAR",IF(IF(Q598&lt;&gt;"",Q598,I598)&lt;TODAY(),"ATRASADO",IF(IF(Q598&lt;&gt;"",Q598,I598)-TODAY()&lt;=2,"POR VENCER","EN TIEMPO")))))</f>
        <v>Entregado</v>
      </c>
      <c r="N598" s="23" t="s">
        <v>511</v>
      </c>
      <c r="P598" s="23" t="s">
        <v>1136</v>
      </c>
      <c r="Q598" s="28"/>
    </row>
    <row r="599" spans="1:17" ht="16.5" x14ac:dyDescent="0.3">
      <c r="A599" s="23" t="s">
        <v>1137</v>
      </c>
      <c r="B599" s="23"/>
      <c r="C599" s="23" t="s">
        <v>1138</v>
      </c>
      <c r="D599" s="24">
        <v>46219</v>
      </c>
      <c r="E599" s="25">
        <v>6</v>
      </c>
      <c r="F599" s="24">
        <v>46219</v>
      </c>
      <c r="G599" s="23" t="s">
        <v>187</v>
      </c>
      <c r="H599" s="26">
        <v>35</v>
      </c>
      <c r="I599" s="24">
        <f t="shared" si="30"/>
        <v>46254</v>
      </c>
      <c r="J599" s="26">
        <f t="shared" ca="1" si="28"/>
        <v>-50</v>
      </c>
      <c r="K599" s="26">
        <f t="shared" ca="1" si="29"/>
        <v>50</v>
      </c>
      <c r="L599" s="27"/>
      <c r="M599" s="26" t="str">
        <f ca="1">IF(L599&lt;&gt;"","Entregado",IF(NOT(ISNUMBER(IF(Q599&lt;&gt;"",Q599,I599))),"REVISAR TE",IF(AND(ISNUMBER(Resumen!$B$3),IF(Q599&lt;&gt;"",Q599,I599)&lt;Resumen!$B$3),"REVISAR",IF(IF(Q599&lt;&gt;"",Q599,I599)&lt;TODAY(),"ATRASADO",IF(IF(Q599&lt;&gt;"",Q599,I599)-TODAY()&lt;=2,"POR VENCER","EN TIEMPO")))))</f>
        <v>ATRASADO</v>
      </c>
      <c r="N599" s="23" t="s">
        <v>94</v>
      </c>
      <c r="P599" s="23" t="s">
        <v>1139</v>
      </c>
      <c r="Q599" s="28"/>
    </row>
    <row r="600" spans="1:17" ht="16.5" x14ac:dyDescent="0.3">
      <c r="A600" s="23" t="s">
        <v>1137</v>
      </c>
      <c r="B600" s="23"/>
      <c r="C600" s="23" t="s">
        <v>1140</v>
      </c>
      <c r="D600" s="24">
        <v>46219</v>
      </c>
      <c r="E600" s="25">
        <v>6</v>
      </c>
      <c r="F600" s="24">
        <v>46219</v>
      </c>
      <c r="G600" s="23" t="s">
        <v>187</v>
      </c>
      <c r="H600" s="26">
        <v>35</v>
      </c>
      <c r="I600" s="24">
        <f t="shared" si="30"/>
        <v>46254</v>
      </c>
      <c r="J600" s="26">
        <f t="shared" ca="1" si="28"/>
        <v>-50</v>
      </c>
      <c r="K600" s="26">
        <f t="shared" ca="1" si="29"/>
        <v>50</v>
      </c>
      <c r="L600" s="27"/>
      <c r="M600" s="26" t="str">
        <f ca="1">IF(L600&lt;&gt;"","Entregado",IF(NOT(ISNUMBER(IF(Q600&lt;&gt;"",Q600,I600))),"REVISAR TE",IF(AND(ISNUMBER(Resumen!$B$3),IF(Q600&lt;&gt;"",Q600,I600)&lt;Resumen!$B$3),"REVISAR",IF(IF(Q600&lt;&gt;"",Q600,I600)&lt;TODAY(),"ATRASADO",IF(IF(Q600&lt;&gt;"",Q600,I600)-TODAY()&lt;=2,"POR VENCER","EN TIEMPO")))))</f>
        <v>ATRASADO</v>
      </c>
      <c r="N600" s="23" t="s">
        <v>94</v>
      </c>
      <c r="P600" s="23" t="s">
        <v>1139</v>
      </c>
      <c r="Q600" s="28"/>
    </row>
    <row r="601" spans="1:17" ht="16.5" x14ac:dyDescent="0.3">
      <c r="A601" s="23" t="s">
        <v>1137</v>
      </c>
      <c r="B601" s="23"/>
      <c r="C601" s="23" t="s">
        <v>1141</v>
      </c>
      <c r="D601" s="24">
        <v>46219</v>
      </c>
      <c r="E601" s="25">
        <v>6</v>
      </c>
      <c r="F601" s="24">
        <v>46219</v>
      </c>
      <c r="G601" s="23" t="s">
        <v>187</v>
      </c>
      <c r="H601" s="26">
        <v>35</v>
      </c>
      <c r="I601" s="24">
        <f t="shared" si="30"/>
        <v>46254</v>
      </c>
      <c r="J601" s="26">
        <f t="shared" ca="1" si="28"/>
        <v>-50</v>
      </c>
      <c r="K601" s="26">
        <f t="shared" ca="1" si="29"/>
        <v>50</v>
      </c>
      <c r="L601" s="27"/>
      <c r="M601" s="26" t="str">
        <f ca="1">IF(L601&lt;&gt;"","Entregado",IF(NOT(ISNUMBER(IF(Q601&lt;&gt;"",Q601,I601))),"REVISAR TE",IF(AND(ISNUMBER(Resumen!$B$3),IF(Q601&lt;&gt;"",Q601,I601)&lt;Resumen!$B$3),"REVISAR",IF(IF(Q601&lt;&gt;"",Q601,I601)&lt;TODAY(),"ATRASADO",IF(IF(Q601&lt;&gt;"",Q601,I601)-TODAY()&lt;=2,"POR VENCER","EN TIEMPO")))))</f>
        <v>ATRASADO</v>
      </c>
      <c r="N601" s="23" t="s">
        <v>94</v>
      </c>
      <c r="P601" s="23" t="s">
        <v>1139</v>
      </c>
      <c r="Q601" s="28"/>
    </row>
    <row r="602" spans="1:17" ht="16.5" x14ac:dyDescent="0.3">
      <c r="A602" s="23" t="s">
        <v>1137</v>
      </c>
      <c r="B602" s="23"/>
      <c r="C602" s="23" t="s">
        <v>1142</v>
      </c>
      <c r="D602" s="24">
        <v>46219</v>
      </c>
      <c r="E602" s="25">
        <v>6</v>
      </c>
      <c r="F602" s="24">
        <v>46219</v>
      </c>
      <c r="G602" s="23" t="s">
        <v>187</v>
      </c>
      <c r="H602" s="26">
        <v>35</v>
      </c>
      <c r="I602" s="24">
        <f t="shared" si="30"/>
        <v>46254</v>
      </c>
      <c r="J602" s="26">
        <f t="shared" ca="1" si="28"/>
        <v>-50</v>
      </c>
      <c r="K602" s="26">
        <f t="shared" ca="1" si="29"/>
        <v>50</v>
      </c>
      <c r="L602" s="27"/>
      <c r="M602" s="26" t="str">
        <f ca="1">IF(L602&lt;&gt;"","Entregado",IF(NOT(ISNUMBER(IF(Q602&lt;&gt;"",Q602,I602))),"REVISAR TE",IF(AND(ISNUMBER(Resumen!$B$3),IF(Q602&lt;&gt;"",Q602,I602)&lt;Resumen!$B$3),"REVISAR",IF(IF(Q602&lt;&gt;"",Q602,I602)&lt;TODAY(),"ATRASADO",IF(IF(Q602&lt;&gt;"",Q602,I602)-TODAY()&lt;=2,"POR VENCER","EN TIEMPO")))))</f>
        <v>ATRASADO</v>
      </c>
      <c r="N602" s="23" t="s">
        <v>94</v>
      </c>
      <c r="P602" s="23" t="s">
        <v>1139</v>
      </c>
      <c r="Q602" s="28"/>
    </row>
    <row r="603" spans="1:17" ht="16.5" hidden="1" x14ac:dyDescent="0.3">
      <c r="A603" s="23" t="s">
        <v>1143</v>
      </c>
      <c r="B603" s="23" t="s">
        <v>52</v>
      </c>
      <c r="C603" s="23" t="s">
        <v>1144</v>
      </c>
      <c r="D603" s="24">
        <v>46220</v>
      </c>
      <c r="E603" s="25">
        <v>5</v>
      </c>
      <c r="F603" s="24">
        <v>46220</v>
      </c>
      <c r="G603" s="23" t="s">
        <v>196</v>
      </c>
      <c r="H603" s="26">
        <v>10</v>
      </c>
      <c r="I603" s="24">
        <f t="shared" si="30"/>
        <v>46230</v>
      </c>
      <c r="J603" s="26">
        <f t="shared" ca="1" si="28"/>
        <v>-74</v>
      </c>
      <c r="K603" s="26" t="str">
        <f t="shared" ca="1" si="29"/>
        <v/>
      </c>
      <c r="L603" s="27" t="s">
        <v>1567</v>
      </c>
      <c r="M603" s="26" t="str">
        <f ca="1">IF(L603&lt;&gt;"","Entregado",IF(NOT(ISNUMBER(IF(Q603&lt;&gt;"",Q603,I603))),"REVISAR TE",IF(AND(ISNUMBER(Resumen!$B$3),IF(Q603&lt;&gt;"",Q603,I603)&lt;Resumen!$B$3),"REVISAR",IF(IF(Q603&lt;&gt;"",Q603,I603)&lt;TODAY(),"ATRASADO",IF(IF(Q603&lt;&gt;"",Q603,I603)-TODAY()&lt;=2,"POR VENCER","EN TIEMPO")))))</f>
        <v>Entregado</v>
      </c>
      <c r="N603" s="23" t="s">
        <v>98</v>
      </c>
      <c r="P603" s="23" t="s">
        <v>1145</v>
      </c>
      <c r="Q603" s="28"/>
    </row>
    <row r="604" spans="1:17" ht="16.5" x14ac:dyDescent="0.3">
      <c r="A604" s="23" t="s">
        <v>1146</v>
      </c>
      <c r="B604" s="23" t="s">
        <v>52</v>
      </c>
      <c r="C604" s="23" t="s">
        <v>1147</v>
      </c>
      <c r="D604" s="24">
        <v>46220</v>
      </c>
      <c r="E604" s="25">
        <v>1</v>
      </c>
      <c r="F604" s="24">
        <v>46220</v>
      </c>
      <c r="G604" s="23" t="s">
        <v>137</v>
      </c>
      <c r="H604" s="26">
        <v>28</v>
      </c>
      <c r="I604" s="24">
        <f t="shared" si="30"/>
        <v>46248</v>
      </c>
      <c r="J604" s="26">
        <f t="shared" ca="1" si="28"/>
        <v>-56</v>
      </c>
      <c r="K604" s="26">
        <f t="shared" ca="1" si="29"/>
        <v>56</v>
      </c>
      <c r="L604" s="27"/>
      <c r="M604" s="26" t="str">
        <f ca="1">IF(L604&lt;&gt;"","Entregado",IF(NOT(ISNUMBER(IF(Q604&lt;&gt;"",Q604,I604))),"REVISAR TE",IF(AND(ISNUMBER(Resumen!$B$3),IF(Q604&lt;&gt;"",Q604,I604)&lt;Resumen!$B$3),"REVISAR",IF(IF(Q604&lt;&gt;"",Q604,I604)&lt;TODAY(),"ATRASADO",IF(IF(Q604&lt;&gt;"",Q604,I604)-TODAY()&lt;=2,"POR VENCER","EN TIEMPO")))))</f>
        <v>ATRASADO</v>
      </c>
      <c r="N604" s="23" t="s">
        <v>245</v>
      </c>
      <c r="P604" s="23" t="s">
        <v>1148</v>
      </c>
      <c r="Q604" s="28"/>
    </row>
    <row r="605" spans="1:17" ht="16.5" hidden="1" x14ac:dyDescent="0.3">
      <c r="A605" s="23" t="s">
        <v>1149</v>
      </c>
      <c r="B605" s="23" t="s">
        <v>52</v>
      </c>
      <c r="C605" s="23" t="s">
        <v>1150</v>
      </c>
      <c r="D605" s="24">
        <v>46220</v>
      </c>
      <c r="E605" s="25">
        <v>1</v>
      </c>
      <c r="F605" s="24">
        <v>46220</v>
      </c>
      <c r="G605" s="23" t="s">
        <v>171</v>
      </c>
      <c r="H605" s="26">
        <v>7</v>
      </c>
      <c r="I605" s="24">
        <f t="shared" si="30"/>
        <v>46227</v>
      </c>
      <c r="J605" s="26">
        <f t="shared" ca="1" si="28"/>
        <v>-77</v>
      </c>
      <c r="K605" s="26" t="str">
        <f t="shared" ca="1" si="29"/>
        <v/>
      </c>
      <c r="L605" s="27" t="s">
        <v>1567</v>
      </c>
      <c r="M605" s="26" t="str">
        <f ca="1">IF(L605&lt;&gt;"","Entregado",IF(NOT(ISNUMBER(IF(Q605&lt;&gt;"",Q605,I605))),"REVISAR TE",IF(AND(ISNUMBER(Resumen!$B$3),IF(Q605&lt;&gt;"",Q605,I605)&lt;Resumen!$B$3),"REVISAR",IF(IF(Q605&lt;&gt;"",Q605,I605)&lt;TODAY(),"ATRASADO",IF(IF(Q605&lt;&gt;"",Q605,I605)-TODAY()&lt;=2,"POR VENCER","EN TIEMPO")))))</f>
        <v>Entregado</v>
      </c>
      <c r="N605" s="23" t="s">
        <v>89</v>
      </c>
      <c r="P605" s="23" t="s">
        <v>1151</v>
      </c>
      <c r="Q605" s="28"/>
    </row>
    <row r="606" spans="1:17" ht="16.5" hidden="1" x14ac:dyDescent="0.3">
      <c r="A606" s="23" t="s">
        <v>1152</v>
      </c>
      <c r="B606" s="23" t="s">
        <v>52</v>
      </c>
      <c r="C606" s="23" t="s">
        <v>1153</v>
      </c>
      <c r="D606" s="24">
        <v>46220</v>
      </c>
      <c r="E606" s="25">
        <v>2</v>
      </c>
      <c r="F606" s="24">
        <v>46220</v>
      </c>
      <c r="G606" s="23" t="s">
        <v>171</v>
      </c>
      <c r="H606" s="26">
        <v>7</v>
      </c>
      <c r="I606" s="24">
        <f t="shared" si="30"/>
        <v>46227</v>
      </c>
      <c r="J606" s="26">
        <f t="shared" ca="1" si="28"/>
        <v>-77</v>
      </c>
      <c r="K606" s="26" t="str">
        <f t="shared" ca="1" si="29"/>
        <v/>
      </c>
      <c r="L606" s="27" t="s">
        <v>1567</v>
      </c>
      <c r="M606" s="26" t="str">
        <f ca="1">IF(L606&lt;&gt;"","Entregado",IF(NOT(ISNUMBER(IF(Q606&lt;&gt;"",Q606,I606))),"REVISAR TE",IF(AND(ISNUMBER(Resumen!$B$3),IF(Q606&lt;&gt;"",Q606,I606)&lt;Resumen!$B$3),"REVISAR",IF(IF(Q606&lt;&gt;"",Q606,I606)&lt;TODAY(),"ATRASADO",IF(IF(Q606&lt;&gt;"",Q606,I606)-TODAY()&lt;=2,"POR VENCER","EN TIEMPO")))))</f>
        <v>Entregado</v>
      </c>
      <c r="N606" s="23" t="s">
        <v>197</v>
      </c>
      <c r="P606" s="23" t="s">
        <v>1154</v>
      </c>
      <c r="Q606" s="28"/>
    </row>
    <row r="607" spans="1:17" ht="16.5" hidden="1" x14ac:dyDescent="0.3">
      <c r="A607" s="23" t="s">
        <v>1155</v>
      </c>
      <c r="B607" s="23"/>
      <c r="C607" s="23" t="s">
        <v>1156</v>
      </c>
      <c r="D607" s="24">
        <v>46223</v>
      </c>
      <c r="E607" s="25">
        <v>1</v>
      </c>
      <c r="F607" s="24">
        <v>46223</v>
      </c>
      <c r="G607" s="23" t="s">
        <v>88</v>
      </c>
      <c r="H607" s="26">
        <v>0</v>
      </c>
      <c r="I607" s="24">
        <f t="shared" si="30"/>
        <v>46223</v>
      </c>
      <c r="J607" s="26">
        <f t="shared" ca="1" si="28"/>
        <v>-81</v>
      </c>
      <c r="K607" s="26" t="str">
        <f t="shared" ca="1" si="29"/>
        <v/>
      </c>
      <c r="L607" s="27" t="s">
        <v>1567</v>
      </c>
      <c r="M607" s="26" t="str">
        <f ca="1">IF(L607&lt;&gt;"","Entregado",IF(NOT(ISNUMBER(IF(Q607&lt;&gt;"",Q607,I607))),"REVISAR TE",IF(AND(ISNUMBER(Resumen!$B$3),IF(Q607&lt;&gt;"",Q607,I607)&lt;Resumen!$B$3),"REVISAR",IF(IF(Q607&lt;&gt;"",Q607,I607)&lt;TODAY(),"ATRASADO",IF(IF(Q607&lt;&gt;"",Q607,I607)-TODAY()&lt;=2,"POR VENCER","EN TIEMPO")))))</f>
        <v>Entregado</v>
      </c>
      <c r="N607" s="23" t="s">
        <v>197</v>
      </c>
      <c r="P607" s="23" t="s">
        <v>1157</v>
      </c>
      <c r="Q607" s="28"/>
    </row>
    <row r="608" spans="1:17" ht="16.5" hidden="1" x14ac:dyDescent="0.3">
      <c r="A608" s="23" t="s">
        <v>1158</v>
      </c>
      <c r="B608" s="23" t="s">
        <v>53</v>
      </c>
      <c r="C608" s="23" t="s">
        <v>1159</v>
      </c>
      <c r="D608" s="24">
        <v>46225</v>
      </c>
      <c r="E608" s="25">
        <v>1</v>
      </c>
      <c r="F608" s="24">
        <v>46225</v>
      </c>
      <c r="G608" s="23" t="s">
        <v>88</v>
      </c>
      <c r="H608" s="26">
        <v>0</v>
      </c>
      <c r="I608" s="24">
        <f t="shared" si="30"/>
        <v>46225</v>
      </c>
      <c r="J608" s="26">
        <f t="shared" ca="1" si="28"/>
        <v>-79</v>
      </c>
      <c r="K608" s="26" t="str">
        <f t="shared" ca="1" si="29"/>
        <v/>
      </c>
      <c r="L608" s="27" t="s">
        <v>1567</v>
      </c>
      <c r="M608" s="26" t="str">
        <f ca="1">IF(L608&lt;&gt;"","Entregado",IF(NOT(ISNUMBER(IF(Q608&lt;&gt;"",Q608,I608))),"REVISAR TE",IF(AND(ISNUMBER(Resumen!$B$3),IF(Q608&lt;&gt;"",Q608,I608)&lt;Resumen!$B$3),"REVISAR",IF(IF(Q608&lt;&gt;"",Q608,I608)&lt;TODAY(),"ATRASADO",IF(IF(Q608&lt;&gt;"",Q608,I608)-TODAY()&lt;=2,"POR VENCER","EN TIEMPO")))))</f>
        <v>Entregado</v>
      </c>
      <c r="N608" s="23" t="s">
        <v>508</v>
      </c>
      <c r="P608" s="23" t="s">
        <v>1160</v>
      </c>
      <c r="Q608" s="28"/>
    </row>
    <row r="609" spans="1:17" ht="16.5" x14ac:dyDescent="0.3">
      <c r="A609" s="23" t="s">
        <v>1161</v>
      </c>
      <c r="B609" s="23"/>
      <c r="C609" s="23" t="s">
        <v>1162</v>
      </c>
      <c r="D609" s="24">
        <v>46225</v>
      </c>
      <c r="E609" s="25">
        <v>5</v>
      </c>
      <c r="F609" s="24">
        <v>46225</v>
      </c>
      <c r="G609" s="23" t="s">
        <v>274</v>
      </c>
      <c r="H609" s="26">
        <v>42</v>
      </c>
      <c r="I609" s="24">
        <f t="shared" si="30"/>
        <v>46267</v>
      </c>
      <c r="J609" s="26">
        <f t="shared" ca="1" si="28"/>
        <v>-37</v>
      </c>
      <c r="K609" s="26">
        <f t="shared" ca="1" si="29"/>
        <v>37</v>
      </c>
      <c r="L609" s="27"/>
      <c r="M609" s="26" t="str">
        <f ca="1">IF(L609&lt;&gt;"","Entregado",IF(NOT(ISNUMBER(IF(Q609&lt;&gt;"",Q609,I609))),"REVISAR TE",IF(AND(ISNUMBER(Resumen!$B$3),IF(Q609&lt;&gt;"",Q609,I609)&lt;Resumen!$B$3),"REVISAR",IF(IF(Q609&lt;&gt;"",Q609,I609)&lt;TODAY(),"ATRASADO",IF(IF(Q609&lt;&gt;"",Q609,I609)-TODAY()&lt;=2,"POR VENCER","EN TIEMPO")))))</f>
        <v>ATRASADO</v>
      </c>
      <c r="N609" s="23" t="s">
        <v>796</v>
      </c>
      <c r="P609" s="23" t="s">
        <v>1163</v>
      </c>
      <c r="Q609" s="28"/>
    </row>
    <row r="610" spans="1:17" ht="16.5" x14ac:dyDescent="0.3">
      <c r="A610" s="23" t="s">
        <v>1161</v>
      </c>
      <c r="B610" s="23"/>
      <c r="C610" s="23" t="s">
        <v>1164</v>
      </c>
      <c r="D610" s="24">
        <v>46225</v>
      </c>
      <c r="E610" s="25">
        <v>5</v>
      </c>
      <c r="F610" s="24">
        <v>46225</v>
      </c>
      <c r="G610" s="23" t="s">
        <v>274</v>
      </c>
      <c r="H610" s="26">
        <v>42</v>
      </c>
      <c r="I610" s="24">
        <f t="shared" si="30"/>
        <v>46267</v>
      </c>
      <c r="J610" s="26">
        <f t="shared" ca="1" si="28"/>
        <v>-37</v>
      </c>
      <c r="K610" s="26">
        <f t="shared" ca="1" si="29"/>
        <v>37</v>
      </c>
      <c r="L610" s="27"/>
      <c r="M610" s="26" t="str">
        <f ca="1">IF(L610&lt;&gt;"","Entregado",IF(NOT(ISNUMBER(IF(Q610&lt;&gt;"",Q610,I610))),"REVISAR TE",IF(AND(ISNUMBER(Resumen!$B$3),IF(Q610&lt;&gt;"",Q610,I610)&lt;Resumen!$B$3),"REVISAR",IF(IF(Q610&lt;&gt;"",Q610,I610)&lt;TODAY(),"ATRASADO",IF(IF(Q610&lt;&gt;"",Q610,I610)-TODAY()&lt;=2,"POR VENCER","EN TIEMPO")))))</f>
        <v>ATRASADO</v>
      </c>
      <c r="N610" s="23" t="s">
        <v>796</v>
      </c>
      <c r="P610" s="23" t="s">
        <v>1163</v>
      </c>
      <c r="Q610" s="28"/>
    </row>
    <row r="611" spans="1:17" ht="16.5" x14ac:dyDescent="0.3">
      <c r="A611" s="23" t="s">
        <v>1161</v>
      </c>
      <c r="B611" s="23"/>
      <c r="C611" s="23" t="s">
        <v>1165</v>
      </c>
      <c r="D611" s="24">
        <v>46225</v>
      </c>
      <c r="E611" s="25">
        <v>5</v>
      </c>
      <c r="F611" s="24">
        <v>46225</v>
      </c>
      <c r="G611" s="23" t="s">
        <v>274</v>
      </c>
      <c r="H611" s="26">
        <v>42</v>
      </c>
      <c r="I611" s="24">
        <f t="shared" si="30"/>
        <v>46267</v>
      </c>
      <c r="J611" s="26">
        <f t="shared" ca="1" si="28"/>
        <v>-37</v>
      </c>
      <c r="K611" s="26">
        <f t="shared" ca="1" si="29"/>
        <v>37</v>
      </c>
      <c r="L611" s="27"/>
      <c r="M611" s="26" t="str">
        <f ca="1">IF(L611&lt;&gt;"","Entregado",IF(NOT(ISNUMBER(IF(Q611&lt;&gt;"",Q611,I611))),"REVISAR TE",IF(AND(ISNUMBER(Resumen!$B$3),IF(Q611&lt;&gt;"",Q611,I611)&lt;Resumen!$B$3),"REVISAR",IF(IF(Q611&lt;&gt;"",Q611,I611)&lt;TODAY(),"ATRASADO",IF(IF(Q611&lt;&gt;"",Q611,I611)-TODAY()&lt;=2,"POR VENCER","EN TIEMPO")))))</f>
        <v>ATRASADO</v>
      </c>
      <c r="N611" s="23" t="s">
        <v>796</v>
      </c>
      <c r="P611" s="23" t="s">
        <v>1163</v>
      </c>
      <c r="Q611" s="28"/>
    </row>
    <row r="612" spans="1:17" ht="16.5" x14ac:dyDescent="0.3">
      <c r="A612" s="23" t="s">
        <v>1161</v>
      </c>
      <c r="B612" s="23"/>
      <c r="C612" s="23" t="s">
        <v>1166</v>
      </c>
      <c r="D612" s="24">
        <v>46225</v>
      </c>
      <c r="E612" s="25">
        <v>5</v>
      </c>
      <c r="F612" s="24">
        <v>46225</v>
      </c>
      <c r="G612" s="23" t="s">
        <v>274</v>
      </c>
      <c r="H612" s="26">
        <v>42</v>
      </c>
      <c r="I612" s="24">
        <f t="shared" si="30"/>
        <v>46267</v>
      </c>
      <c r="J612" s="26">
        <f t="shared" ca="1" si="28"/>
        <v>-37</v>
      </c>
      <c r="K612" s="26">
        <f t="shared" ca="1" si="29"/>
        <v>37</v>
      </c>
      <c r="L612" s="27"/>
      <c r="M612" s="26" t="str">
        <f ca="1">IF(L612&lt;&gt;"","Entregado",IF(NOT(ISNUMBER(IF(Q612&lt;&gt;"",Q612,I612))),"REVISAR TE",IF(AND(ISNUMBER(Resumen!$B$3),IF(Q612&lt;&gt;"",Q612,I612)&lt;Resumen!$B$3),"REVISAR",IF(IF(Q612&lt;&gt;"",Q612,I612)&lt;TODAY(),"ATRASADO",IF(IF(Q612&lt;&gt;"",Q612,I612)-TODAY()&lt;=2,"POR VENCER","EN TIEMPO")))))</f>
        <v>ATRASADO</v>
      </c>
      <c r="N612" s="23" t="s">
        <v>796</v>
      </c>
      <c r="P612" s="23" t="s">
        <v>1163</v>
      </c>
      <c r="Q612" s="28"/>
    </row>
    <row r="613" spans="1:17" ht="16.5" x14ac:dyDescent="0.3">
      <c r="A613" s="23" t="s">
        <v>1167</v>
      </c>
      <c r="B613" s="23"/>
      <c r="C613" s="23" t="s">
        <v>1169</v>
      </c>
      <c r="D613" s="24">
        <v>46225</v>
      </c>
      <c r="E613" s="25">
        <v>5</v>
      </c>
      <c r="F613" s="24">
        <v>46225</v>
      </c>
      <c r="G613" s="23" t="s">
        <v>1168</v>
      </c>
      <c r="H613" s="26">
        <v>49</v>
      </c>
      <c r="I613" s="24">
        <f t="shared" si="30"/>
        <v>46274</v>
      </c>
      <c r="J613" s="26">
        <f t="shared" ca="1" si="28"/>
        <v>-30</v>
      </c>
      <c r="K613" s="26">
        <f t="shared" ca="1" si="29"/>
        <v>30</v>
      </c>
      <c r="L613" s="27"/>
      <c r="M613" s="26" t="str">
        <f ca="1">IF(L613&lt;&gt;"","Entregado",IF(NOT(ISNUMBER(IF(Q613&lt;&gt;"",Q613,I613))),"REVISAR TE",IF(AND(ISNUMBER(Resumen!$B$3),IF(Q613&lt;&gt;"",Q613,I613)&lt;Resumen!$B$3),"REVISAR",IF(IF(Q613&lt;&gt;"",Q613,I613)&lt;TODAY(),"ATRASADO",IF(IF(Q613&lt;&gt;"",Q613,I613)-TODAY()&lt;=2,"POR VENCER","EN TIEMPO")))))</f>
        <v>ATRASADO</v>
      </c>
      <c r="N613" s="23" t="s">
        <v>796</v>
      </c>
      <c r="P613" s="23" t="s">
        <v>1170</v>
      </c>
      <c r="Q613" s="28"/>
    </row>
    <row r="614" spans="1:17" ht="16.5" x14ac:dyDescent="0.3">
      <c r="A614" s="23" t="s">
        <v>1167</v>
      </c>
      <c r="B614" s="23"/>
      <c r="C614" s="23" t="s">
        <v>1171</v>
      </c>
      <c r="D614" s="24">
        <v>46225</v>
      </c>
      <c r="E614" s="25">
        <v>5</v>
      </c>
      <c r="F614" s="24">
        <v>46225</v>
      </c>
      <c r="G614" s="23" t="s">
        <v>1168</v>
      </c>
      <c r="H614" s="26">
        <v>49</v>
      </c>
      <c r="I614" s="24">
        <f t="shared" si="30"/>
        <v>46274</v>
      </c>
      <c r="J614" s="26">
        <f t="shared" ca="1" si="28"/>
        <v>-30</v>
      </c>
      <c r="K614" s="26">
        <f t="shared" ca="1" si="29"/>
        <v>30</v>
      </c>
      <c r="L614" s="27"/>
      <c r="M614" s="26" t="str">
        <f ca="1">IF(L614&lt;&gt;"","Entregado",IF(NOT(ISNUMBER(IF(Q614&lt;&gt;"",Q614,I614))),"REVISAR TE",IF(AND(ISNUMBER(Resumen!$B$3),IF(Q614&lt;&gt;"",Q614,I614)&lt;Resumen!$B$3),"REVISAR",IF(IF(Q614&lt;&gt;"",Q614,I614)&lt;TODAY(),"ATRASADO",IF(IF(Q614&lt;&gt;"",Q614,I614)-TODAY()&lt;=2,"POR VENCER","EN TIEMPO")))))</f>
        <v>ATRASADO</v>
      </c>
      <c r="N614" s="23" t="s">
        <v>796</v>
      </c>
      <c r="P614" s="23" t="s">
        <v>1170</v>
      </c>
      <c r="Q614" s="28"/>
    </row>
    <row r="615" spans="1:17" ht="16.5" x14ac:dyDescent="0.3">
      <c r="A615" s="23" t="s">
        <v>1167</v>
      </c>
      <c r="B615" s="23"/>
      <c r="C615" s="23" t="s">
        <v>1172</v>
      </c>
      <c r="D615" s="24">
        <v>46225</v>
      </c>
      <c r="E615" s="25">
        <v>5</v>
      </c>
      <c r="F615" s="24">
        <v>46225</v>
      </c>
      <c r="G615" s="23" t="s">
        <v>1168</v>
      </c>
      <c r="H615" s="26">
        <v>49</v>
      </c>
      <c r="I615" s="24">
        <f t="shared" si="30"/>
        <v>46274</v>
      </c>
      <c r="J615" s="26">
        <f t="shared" ca="1" si="28"/>
        <v>-30</v>
      </c>
      <c r="K615" s="26">
        <f t="shared" ca="1" si="29"/>
        <v>30</v>
      </c>
      <c r="L615" s="27"/>
      <c r="M615" s="26" t="str">
        <f ca="1">IF(L615&lt;&gt;"","Entregado",IF(NOT(ISNUMBER(IF(Q615&lt;&gt;"",Q615,I615))),"REVISAR TE",IF(AND(ISNUMBER(Resumen!$B$3),IF(Q615&lt;&gt;"",Q615,I615)&lt;Resumen!$B$3),"REVISAR",IF(IF(Q615&lt;&gt;"",Q615,I615)&lt;TODAY(),"ATRASADO",IF(IF(Q615&lt;&gt;"",Q615,I615)-TODAY()&lt;=2,"POR VENCER","EN TIEMPO")))))</f>
        <v>ATRASADO</v>
      </c>
      <c r="N615" s="23" t="s">
        <v>796</v>
      </c>
      <c r="P615" s="23" t="s">
        <v>1170</v>
      </c>
      <c r="Q615" s="28"/>
    </row>
    <row r="616" spans="1:17" ht="16.5" x14ac:dyDescent="0.3">
      <c r="A616" s="23" t="s">
        <v>1167</v>
      </c>
      <c r="B616" s="23"/>
      <c r="C616" s="23" t="s">
        <v>1173</v>
      </c>
      <c r="D616" s="24">
        <v>46225</v>
      </c>
      <c r="E616" s="25">
        <v>5</v>
      </c>
      <c r="F616" s="24">
        <v>46225</v>
      </c>
      <c r="G616" s="23" t="s">
        <v>1168</v>
      </c>
      <c r="H616" s="26">
        <v>49</v>
      </c>
      <c r="I616" s="24">
        <f t="shared" si="30"/>
        <v>46274</v>
      </c>
      <c r="J616" s="26">
        <f t="shared" ca="1" si="28"/>
        <v>-30</v>
      </c>
      <c r="K616" s="26">
        <f t="shared" ca="1" si="29"/>
        <v>30</v>
      </c>
      <c r="L616" s="27"/>
      <c r="M616" s="26" t="str">
        <f ca="1">IF(L616&lt;&gt;"","Entregado",IF(NOT(ISNUMBER(IF(Q616&lt;&gt;"",Q616,I616))),"REVISAR TE",IF(AND(ISNUMBER(Resumen!$B$3),IF(Q616&lt;&gt;"",Q616,I616)&lt;Resumen!$B$3),"REVISAR",IF(IF(Q616&lt;&gt;"",Q616,I616)&lt;TODAY(),"ATRASADO",IF(IF(Q616&lt;&gt;"",Q616,I616)-TODAY()&lt;=2,"POR VENCER","EN TIEMPO")))))</f>
        <v>ATRASADO</v>
      </c>
      <c r="N616" s="23" t="s">
        <v>796</v>
      </c>
      <c r="P616" s="23" t="s">
        <v>1170</v>
      </c>
      <c r="Q616" s="28"/>
    </row>
    <row r="617" spans="1:17" ht="16.5" x14ac:dyDescent="0.3">
      <c r="A617" s="23" t="s">
        <v>1167</v>
      </c>
      <c r="B617" s="23"/>
      <c r="C617" s="23" t="s">
        <v>1174</v>
      </c>
      <c r="D617" s="24">
        <v>46225</v>
      </c>
      <c r="E617" s="25">
        <v>5</v>
      </c>
      <c r="F617" s="24">
        <v>46225</v>
      </c>
      <c r="G617" s="23" t="s">
        <v>1168</v>
      </c>
      <c r="H617" s="26">
        <v>49</v>
      </c>
      <c r="I617" s="24">
        <f t="shared" si="30"/>
        <v>46274</v>
      </c>
      <c r="J617" s="26">
        <f t="shared" ca="1" si="28"/>
        <v>-30</v>
      </c>
      <c r="K617" s="26">
        <f t="shared" ca="1" si="29"/>
        <v>30</v>
      </c>
      <c r="L617" s="27"/>
      <c r="M617" s="26" t="str">
        <f ca="1">IF(L617&lt;&gt;"","Entregado",IF(NOT(ISNUMBER(IF(Q617&lt;&gt;"",Q617,I617))),"REVISAR TE",IF(AND(ISNUMBER(Resumen!$B$3),IF(Q617&lt;&gt;"",Q617,I617)&lt;Resumen!$B$3),"REVISAR",IF(IF(Q617&lt;&gt;"",Q617,I617)&lt;TODAY(),"ATRASADO",IF(IF(Q617&lt;&gt;"",Q617,I617)-TODAY()&lt;=2,"POR VENCER","EN TIEMPO")))))</f>
        <v>ATRASADO</v>
      </c>
      <c r="N617" s="23" t="s">
        <v>796</v>
      </c>
      <c r="P617" s="23" t="s">
        <v>1170</v>
      </c>
      <c r="Q617" s="28"/>
    </row>
    <row r="618" spans="1:17" ht="16.5" x14ac:dyDescent="0.3">
      <c r="A618" s="23" t="s">
        <v>1167</v>
      </c>
      <c r="B618" s="23"/>
      <c r="C618" s="23" t="s">
        <v>1175</v>
      </c>
      <c r="D618" s="24">
        <v>46225</v>
      </c>
      <c r="E618" s="25">
        <v>5</v>
      </c>
      <c r="F618" s="24">
        <v>46225</v>
      </c>
      <c r="G618" s="23" t="s">
        <v>1168</v>
      </c>
      <c r="H618" s="26">
        <v>49</v>
      </c>
      <c r="I618" s="24">
        <f t="shared" si="30"/>
        <v>46274</v>
      </c>
      <c r="J618" s="26">
        <f t="shared" ca="1" si="28"/>
        <v>-30</v>
      </c>
      <c r="K618" s="26">
        <f t="shared" ca="1" si="29"/>
        <v>30</v>
      </c>
      <c r="L618" s="27"/>
      <c r="M618" s="26" t="str">
        <f ca="1">IF(L618&lt;&gt;"","Entregado",IF(NOT(ISNUMBER(IF(Q618&lt;&gt;"",Q618,I618))),"REVISAR TE",IF(AND(ISNUMBER(Resumen!$B$3),IF(Q618&lt;&gt;"",Q618,I618)&lt;Resumen!$B$3),"REVISAR",IF(IF(Q618&lt;&gt;"",Q618,I618)&lt;TODAY(),"ATRASADO",IF(IF(Q618&lt;&gt;"",Q618,I618)-TODAY()&lt;=2,"POR VENCER","EN TIEMPO")))))</f>
        <v>ATRASADO</v>
      </c>
      <c r="N618" s="23" t="s">
        <v>796</v>
      </c>
      <c r="P618" s="23" t="s">
        <v>1170</v>
      </c>
      <c r="Q618" s="28"/>
    </row>
    <row r="619" spans="1:17" ht="16.5" hidden="1" x14ac:dyDescent="0.3">
      <c r="A619" s="23" t="s">
        <v>1176</v>
      </c>
      <c r="B619" s="23"/>
      <c r="C619" s="23" t="s">
        <v>1172</v>
      </c>
      <c r="D619" s="24">
        <v>46226</v>
      </c>
      <c r="E619" s="25">
        <v>5</v>
      </c>
      <c r="F619" s="24">
        <v>46226</v>
      </c>
      <c r="G619" s="23" t="s">
        <v>1177</v>
      </c>
      <c r="H619" s="26">
        <v>112</v>
      </c>
      <c r="I619" s="24">
        <f t="shared" si="30"/>
        <v>46338</v>
      </c>
      <c r="J619" s="26">
        <f t="shared" ca="1" si="28"/>
        <v>34</v>
      </c>
      <c r="K619" s="26" t="str">
        <f t="shared" ca="1" si="29"/>
        <v/>
      </c>
      <c r="L619" s="27" t="s">
        <v>1567</v>
      </c>
      <c r="M619" s="26" t="str">
        <f ca="1">IF(L619&lt;&gt;"","Entregado",IF(NOT(ISNUMBER(IF(Q619&lt;&gt;"",Q619,I619))),"REVISAR TE",IF(AND(ISNUMBER(Resumen!$B$3),IF(Q619&lt;&gt;"",Q619,I619)&lt;Resumen!$B$3),"REVISAR",IF(IF(Q619&lt;&gt;"",Q619,I619)&lt;TODAY(),"ATRASADO",IF(IF(Q619&lt;&gt;"",Q619,I619)-TODAY()&lt;=2,"POR VENCER","EN TIEMPO")))))</f>
        <v>Entregado</v>
      </c>
      <c r="N619" s="23" t="s">
        <v>796</v>
      </c>
      <c r="P619" s="23" t="s">
        <v>1178</v>
      </c>
      <c r="Q619" s="28"/>
    </row>
    <row r="620" spans="1:17" ht="16.5" hidden="1" x14ac:dyDescent="0.3">
      <c r="A620" s="23" t="s">
        <v>1176</v>
      </c>
      <c r="B620" s="23"/>
      <c r="C620" s="23" t="s">
        <v>1173</v>
      </c>
      <c r="D620" s="24">
        <v>46226</v>
      </c>
      <c r="E620" s="25">
        <v>5</v>
      </c>
      <c r="F620" s="24">
        <v>46226</v>
      </c>
      <c r="G620" s="23" t="s">
        <v>1177</v>
      </c>
      <c r="H620" s="26">
        <v>112</v>
      </c>
      <c r="I620" s="24">
        <f t="shared" si="30"/>
        <v>46338</v>
      </c>
      <c r="J620" s="26">
        <f t="shared" ca="1" si="28"/>
        <v>34</v>
      </c>
      <c r="K620" s="26" t="str">
        <f t="shared" ca="1" si="29"/>
        <v/>
      </c>
      <c r="L620" s="27" t="s">
        <v>1567</v>
      </c>
      <c r="M620" s="26" t="str">
        <f ca="1">IF(L620&lt;&gt;"","Entregado",IF(NOT(ISNUMBER(IF(Q620&lt;&gt;"",Q620,I620))),"REVISAR TE",IF(AND(ISNUMBER(Resumen!$B$3),IF(Q620&lt;&gt;"",Q620,I620)&lt;Resumen!$B$3),"REVISAR",IF(IF(Q620&lt;&gt;"",Q620,I620)&lt;TODAY(),"ATRASADO",IF(IF(Q620&lt;&gt;"",Q620,I620)-TODAY()&lt;=2,"POR VENCER","EN TIEMPO")))))</f>
        <v>Entregado</v>
      </c>
      <c r="N620" s="23" t="s">
        <v>796</v>
      </c>
      <c r="P620" s="23" t="s">
        <v>1178</v>
      </c>
      <c r="Q620" s="28"/>
    </row>
    <row r="621" spans="1:17" ht="16.5" hidden="1" x14ac:dyDescent="0.3">
      <c r="A621" s="23" t="s">
        <v>1176</v>
      </c>
      <c r="B621" s="23"/>
      <c r="C621" s="23" t="s">
        <v>1166</v>
      </c>
      <c r="D621" s="24">
        <v>46226</v>
      </c>
      <c r="E621" s="25">
        <v>37</v>
      </c>
      <c r="F621" s="24">
        <v>46226</v>
      </c>
      <c r="G621" s="23" t="s">
        <v>1177</v>
      </c>
      <c r="H621" s="26">
        <v>112</v>
      </c>
      <c r="I621" s="24">
        <f t="shared" si="30"/>
        <v>46338</v>
      </c>
      <c r="J621" s="26">
        <f t="shared" ca="1" si="28"/>
        <v>34</v>
      </c>
      <c r="K621" s="26" t="str">
        <f t="shared" ca="1" si="29"/>
        <v/>
      </c>
      <c r="L621" s="27" t="s">
        <v>1567</v>
      </c>
      <c r="M621" s="26" t="str">
        <f ca="1">IF(L621&lt;&gt;"","Entregado",IF(NOT(ISNUMBER(IF(Q621&lt;&gt;"",Q621,I621))),"REVISAR TE",IF(AND(ISNUMBER(Resumen!$B$3),IF(Q621&lt;&gt;"",Q621,I621)&lt;Resumen!$B$3),"REVISAR",IF(IF(Q621&lt;&gt;"",Q621,I621)&lt;TODAY(),"ATRASADO",IF(IF(Q621&lt;&gt;"",Q621,I621)-TODAY()&lt;=2,"POR VENCER","EN TIEMPO")))))</f>
        <v>Entregado</v>
      </c>
      <c r="N621" s="23" t="s">
        <v>796</v>
      </c>
      <c r="P621" s="23" t="s">
        <v>1178</v>
      </c>
      <c r="Q621" s="28"/>
    </row>
    <row r="622" spans="1:17" ht="16.5" hidden="1" x14ac:dyDescent="0.3">
      <c r="A622" s="23" t="s">
        <v>1176</v>
      </c>
      <c r="B622" s="23"/>
      <c r="C622" s="23" t="s">
        <v>1175</v>
      </c>
      <c r="D622" s="24">
        <v>46226</v>
      </c>
      <c r="E622" s="25">
        <v>18</v>
      </c>
      <c r="F622" s="24">
        <v>46226</v>
      </c>
      <c r="G622" s="23" t="s">
        <v>1177</v>
      </c>
      <c r="H622" s="26">
        <v>112</v>
      </c>
      <c r="I622" s="24">
        <f t="shared" si="30"/>
        <v>46338</v>
      </c>
      <c r="J622" s="26">
        <f t="shared" ca="1" si="28"/>
        <v>34</v>
      </c>
      <c r="K622" s="26" t="str">
        <f t="shared" ca="1" si="29"/>
        <v/>
      </c>
      <c r="L622" s="27" t="s">
        <v>1567</v>
      </c>
      <c r="M622" s="26" t="str">
        <f ca="1">IF(L622&lt;&gt;"","Entregado",IF(NOT(ISNUMBER(IF(Q622&lt;&gt;"",Q622,I622))),"REVISAR TE",IF(AND(ISNUMBER(Resumen!$B$3),IF(Q622&lt;&gt;"",Q622,I622)&lt;Resumen!$B$3),"REVISAR",IF(IF(Q622&lt;&gt;"",Q622,I622)&lt;TODAY(),"ATRASADO",IF(IF(Q622&lt;&gt;"",Q622,I622)-TODAY()&lt;=2,"POR VENCER","EN TIEMPO")))))</f>
        <v>Entregado</v>
      </c>
      <c r="N622" s="23" t="s">
        <v>796</v>
      </c>
      <c r="P622" s="23" t="s">
        <v>1178</v>
      </c>
      <c r="Q622" s="28"/>
    </row>
    <row r="623" spans="1:17" ht="16.5" hidden="1" x14ac:dyDescent="0.3">
      <c r="A623" s="23" t="s">
        <v>1179</v>
      </c>
      <c r="B623" s="23" t="s">
        <v>52</v>
      </c>
      <c r="C623" s="23" t="s">
        <v>1180</v>
      </c>
      <c r="D623" s="24">
        <v>46226</v>
      </c>
      <c r="E623" s="25">
        <v>1</v>
      </c>
      <c r="F623" s="24">
        <v>46226</v>
      </c>
      <c r="G623" s="23" t="s">
        <v>196</v>
      </c>
      <c r="H623" s="26">
        <v>10</v>
      </c>
      <c r="I623" s="24">
        <f t="shared" si="30"/>
        <v>46236</v>
      </c>
      <c r="J623" s="26">
        <f t="shared" ca="1" si="28"/>
        <v>-68</v>
      </c>
      <c r="K623" s="26" t="str">
        <f t="shared" ca="1" si="29"/>
        <v/>
      </c>
      <c r="L623" s="27" t="s">
        <v>1567</v>
      </c>
      <c r="M623" s="26" t="str">
        <f ca="1">IF(L623&lt;&gt;"","Entregado",IF(NOT(ISNUMBER(IF(Q623&lt;&gt;"",Q623,I623))),"REVISAR TE",IF(AND(ISNUMBER(Resumen!$B$3),IF(Q623&lt;&gt;"",Q623,I623)&lt;Resumen!$B$3),"REVISAR",IF(IF(Q623&lt;&gt;"",Q623,I623)&lt;TODAY(),"ATRASADO",IF(IF(Q623&lt;&gt;"",Q623,I623)-TODAY()&lt;=2,"POR VENCER","EN TIEMPO")))))</f>
        <v>Entregado</v>
      </c>
      <c r="N623" s="23" t="s">
        <v>672</v>
      </c>
      <c r="P623" s="23" t="s">
        <v>1181</v>
      </c>
      <c r="Q623" s="28"/>
    </row>
    <row r="624" spans="1:17" ht="16.5" hidden="1" x14ac:dyDescent="0.3">
      <c r="A624" s="23" t="s">
        <v>1182</v>
      </c>
      <c r="B624" s="23" t="s">
        <v>52</v>
      </c>
      <c r="C624" s="23" t="s">
        <v>1183</v>
      </c>
      <c r="D624" s="24">
        <v>46226</v>
      </c>
      <c r="E624" s="25">
        <v>1</v>
      </c>
      <c r="F624" s="24">
        <v>46226</v>
      </c>
      <c r="G624" s="23" t="s">
        <v>196</v>
      </c>
      <c r="H624" s="26">
        <v>10</v>
      </c>
      <c r="I624" s="24">
        <f t="shared" si="30"/>
        <v>46236</v>
      </c>
      <c r="J624" s="26">
        <f t="shared" ca="1" si="28"/>
        <v>-68</v>
      </c>
      <c r="K624" s="26" t="str">
        <f t="shared" ca="1" si="29"/>
        <v/>
      </c>
      <c r="L624" s="27" t="s">
        <v>1567</v>
      </c>
      <c r="M624" s="26" t="str">
        <f ca="1">IF(L624&lt;&gt;"","Entregado",IF(NOT(ISNUMBER(IF(Q624&lt;&gt;"",Q624,I624))),"REVISAR TE",IF(AND(ISNUMBER(Resumen!$B$3),IF(Q624&lt;&gt;"",Q624,I624)&lt;Resumen!$B$3),"REVISAR",IF(IF(Q624&lt;&gt;"",Q624,I624)&lt;TODAY(),"ATRASADO",IF(IF(Q624&lt;&gt;"",Q624,I624)-TODAY()&lt;=2,"POR VENCER","EN TIEMPO")))))</f>
        <v>Entregado</v>
      </c>
      <c r="N624" s="23" t="s">
        <v>672</v>
      </c>
      <c r="P624" s="23" t="s">
        <v>1184</v>
      </c>
      <c r="Q624" s="28"/>
    </row>
    <row r="625" spans="1:17" ht="16.5" hidden="1" x14ac:dyDescent="0.3">
      <c r="A625" s="23" t="s">
        <v>1182</v>
      </c>
      <c r="B625" s="23" t="s">
        <v>52</v>
      </c>
      <c r="C625" s="23" t="s">
        <v>1185</v>
      </c>
      <c r="D625" s="24">
        <v>46226</v>
      </c>
      <c r="E625" s="25">
        <v>1</v>
      </c>
      <c r="F625" s="24">
        <v>46226</v>
      </c>
      <c r="G625" s="23" t="s">
        <v>196</v>
      </c>
      <c r="H625" s="26">
        <v>10</v>
      </c>
      <c r="I625" s="24">
        <f t="shared" si="30"/>
        <v>46236</v>
      </c>
      <c r="J625" s="26">
        <f t="shared" ca="1" si="28"/>
        <v>-68</v>
      </c>
      <c r="K625" s="26" t="str">
        <f t="shared" ca="1" si="29"/>
        <v/>
      </c>
      <c r="L625" s="27" t="s">
        <v>1567</v>
      </c>
      <c r="M625" s="26" t="str">
        <f ca="1">IF(L625&lt;&gt;"","Entregado",IF(NOT(ISNUMBER(IF(Q625&lt;&gt;"",Q625,I625))),"REVISAR TE",IF(AND(ISNUMBER(Resumen!$B$3),IF(Q625&lt;&gt;"",Q625,I625)&lt;Resumen!$B$3),"REVISAR",IF(IF(Q625&lt;&gt;"",Q625,I625)&lt;TODAY(),"ATRASADO",IF(IF(Q625&lt;&gt;"",Q625,I625)-TODAY()&lt;=2,"POR VENCER","EN TIEMPO")))))</f>
        <v>Entregado</v>
      </c>
      <c r="N625" s="23" t="s">
        <v>511</v>
      </c>
      <c r="P625" s="23" t="s">
        <v>1184</v>
      </c>
      <c r="Q625" s="28"/>
    </row>
    <row r="626" spans="1:17" ht="16.5" hidden="1" x14ac:dyDescent="0.3">
      <c r="A626" s="23" t="s">
        <v>1182</v>
      </c>
      <c r="B626" s="23" t="s">
        <v>52</v>
      </c>
      <c r="C626" s="23" t="s">
        <v>1186</v>
      </c>
      <c r="D626" s="24">
        <v>46226</v>
      </c>
      <c r="E626" s="25">
        <v>1</v>
      </c>
      <c r="F626" s="24">
        <v>46226</v>
      </c>
      <c r="G626" s="23" t="s">
        <v>196</v>
      </c>
      <c r="H626" s="26">
        <v>10</v>
      </c>
      <c r="I626" s="24">
        <f t="shared" si="30"/>
        <v>46236</v>
      </c>
      <c r="J626" s="26">
        <f t="shared" ca="1" si="28"/>
        <v>-68</v>
      </c>
      <c r="K626" s="26" t="str">
        <f t="shared" ca="1" si="29"/>
        <v/>
      </c>
      <c r="L626" s="27" t="s">
        <v>1567</v>
      </c>
      <c r="M626" s="26" t="str">
        <f ca="1">IF(L626&lt;&gt;"","Entregado",IF(NOT(ISNUMBER(IF(Q626&lt;&gt;"",Q626,I626))),"REVISAR TE",IF(AND(ISNUMBER(Resumen!$B$3),IF(Q626&lt;&gt;"",Q626,I626)&lt;Resumen!$B$3),"REVISAR",IF(IF(Q626&lt;&gt;"",Q626,I626)&lt;TODAY(),"ATRASADO",IF(IF(Q626&lt;&gt;"",Q626,I626)-TODAY()&lt;=2,"POR VENCER","EN TIEMPO")))))</f>
        <v>Entregado</v>
      </c>
      <c r="N626" s="23" t="s">
        <v>216</v>
      </c>
      <c r="P626" s="23" t="s">
        <v>1184</v>
      </c>
      <c r="Q626" s="28"/>
    </row>
    <row r="627" spans="1:17" ht="16.5" hidden="1" x14ac:dyDescent="0.3">
      <c r="A627" s="23" t="s">
        <v>1182</v>
      </c>
      <c r="B627" s="23" t="s">
        <v>52</v>
      </c>
      <c r="C627" s="23" t="s">
        <v>1187</v>
      </c>
      <c r="D627" s="24">
        <v>46226</v>
      </c>
      <c r="E627" s="25">
        <v>1</v>
      </c>
      <c r="F627" s="24">
        <v>46226</v>
      </c>
      <c r="G627" s="23" t="s">
        <v>196</v>
      </c>
      <c r="H627" s="26">
        <v>10</v>
      </c>
      <c r="I627" s="24">
        <f t="shared" si="30"/>
        <v>46236</v>
      </c>
      <c r="J627" s="26">
        <f t="shared" ca="1" si="28"/>
        <v>-68</v>
      </c>
      <c r="K627" s="26" t="str">
        <f t="shared" ca="1" si="29"/>
        <v/>
      </c>
      <c r="L627" s="27" t="s">
        <v>1567</v>
      </c>
      <c r="M627" s="26" t="str">
        <f ca="1">IF(L627&lt;&gt;"","Entregado",IF(NOT(ISNUMBER(IF(Q627&lt;&gt;"",Q627,I627))),"REVISAR TE",IF(AND(ISNUMBER(Resumen!$B$3),IF(Q627&lt;&gt;"",Q627,I627)&lt;Resumen!$B$3),"REVISAR",IF(IF(Q627&lt;&gt;"",Q627,I627)&lt;TODAY(),"ATRASADO",IF(IF(Q627&lt;&gt;"",Q627,I627)-TODAY()&lt;=2,"POR VENCER","EN TIEMPO")))))</f>
        <v>Entregado</v>
      </c>
      <c r="N627" s="23" t="s">
        <v>511</v>
      </c>
      <c r="P627" s="23" t="s">
        <v>1184</v>
      </c>
      <c r="Q627" s="28"/>
    </row>
    <row r="628" spans="1:17" ht="16.5" hidden="1" x14ac:dyDescent="0.3">
      <c r="A628" s="23" t="s">
        <v>1182</v>
      </c>
      <c r="B628" s="23" t="s">
        <v>52</v>
      </c>
      <c r="C628" s="23" t="s">
        <v>1188</v>
      </c>
      <c r="D628" s="24">
        <v>46226</v>
      </c>
      <c r="E628" s="25">
        <v>1</v>
      </c>
      <c r="F628" s="24">
        <v>46226</v>
      </c>
      <c r="G628" s="23" t="s">
        <v>196</v>
      </c>
      <c r="H628" s="26">
        <v>10</v>
      </c>
      <c r="I628" s="24">
        <f t="shared" si="30"/>
        <v>46236</v>
      </c>
      <c r="J628" s="26">
        <f t="shared" ca="1" si="28"/>
        <v>-68</v>
      </c>
      <c r="K628" s="26" t="str">
        <f t="shared" ca="1" si="29"/>
        <v/>
      </c>
      <c r="L628" s="27" t="s">
        <v>1567</v>
      </c>
      <c r="M628" s="26" t="str">
        <f ca="1">IF(L628&lt;&gt;"","Entregado",IF(NOT(ISNUMBER(IF(Q628&lt;&gt;"",Q628,I628))),"REVISAR TE",IF(AND(ISNUMBER(Resumen!$B$3),IF(Q628&lt;&gt;"",Q628,I628)&lt;Resumen!$B$3),"REVISAR",IF(IF(Q628&lt;&gt;"",Q628,I628)&lt;TODAY(),"ATRASADO",IF(IF(Q628&lt;&gt;"",Q628,I628)-TODAY()&lt;=2,"POR VENCER","EN TIEMPO")))))</f>
        <v>Entregado</v>
      </c>
      <c r="N628" s="23" t="s">
        <v>511</v>
      </c>
      <c r="P628" s="23" t="s">
        <v>1184</v>
      </c>
      <c r="Q628" s="28"/>
    </row>
    <row r="629" spans="1:17" ht="16.5" x14ac:dyDescent="0.3">
      <c r="A629" s="23" t="s">
        <v>1189</v>
      </c>
      <c r="B629" s="23" t="s">
        <v>52</v>
      </c>
      <c r="C629" s="23" t="s">
        <v>1190</v>
      </c>
      <c r="D629" s="24">
        <v>46226</v>
      </c>
      <c r="E629" s="25">
        <v>13</v>
      </c>
      <c r="F629" s="24">
        <v>46226</v>
      </c>
      <c r="G629" s="23" t="s">
        <v>103</v>
      </c>
      <c r="H629" s="26">
        <v>35</v>
      </c>
      <c r="I629" s="24">
        <f t="shared" si="30"/>
        <v>46261</v>
      </c>
      <c r="J629" s="26">
        <f t="shared" ca="1" si="28"/>
        <v>-43</v>
      </c>
      <c r="K629" s="26">
        <f t="shared" ca="1" si="29"/>
        <v>43</v>
      </c>
      <c r="L629" s="27"/>
      <c r="M629" s="26" t="str">
        <f ca="1">IF(L629&lt;&gt;"","Entregado",IF(NOT(ISNUMBER(IF(Q629&lt;&gt;"",Q629,I629))),"REVISAR TE",IF(AND(ISNUMBER(Resumen!$B$3),IF(Q629&lt;&gt;"",Q629,I629)&lt;Resumen!$B$3),"REVISAR",IF(IF(Q629&lt;&gt;"",Q629,I629)&lt;TODAY(),"ATRASADO",IF(IF(Q629&lt;&gt;"",Q629,I629)-TODAY()&lt;=2,"POR VENCER","EN TIEMPO")))))</f>
        <v>ATRASADO</v>
      </c>
      <c r="N629" s="23" t="s">
        <v>94</v>
      </c>
      <c r="P629" s="23" t="s">
        <v>1191</v>
      </c>
      <c r="Q629" s="28"/>
    </row>
    <row r="630" spans="1:17" ht="16.5" x14ac:dyDescent="0.3">
      <c r="A630" s="23" t="s">
        <v>1189</v>
      </c>
      <c r="B630" s="23" t="s">
        <v>52</v>
      </c>
      <c r="C630" s="23" t="s">
        <v>941</v>
      </c>
      <c r="D630" s="24">
        <v>46226</v>
      </c>
      <c r="E630" s="25">
        <v>1</v>
      </c>
      <c r="F630" s="24">
        <v>46226</v>
      </c>
      <c r="G630" s="23" t="s">
        <v>103</v>
      </c>
      <c r="H630" s="26">
        <v>35</v>
      </c>
      <c r="I630" s="24">
        <f t="shared" si="30"/>
        <v>46261</v>
      </c>
      <c r="J630" s="26">
        <f t="shared" ca="1" si="28"/>
        <v>-43</v>
      </c>
      <c r="K630" s="26">
        <f t="shared" ca="1" si="29"/>
        <v>43</v>
      </c>
      <c r="L630" s="27"/>
      <c r="M630" s="26" t="str">
        <f ca="1">IF(L630&lt;&gt;"","Entregado",IF(NOT(ISNUMBER(IF(Q630&lt;&gt;"",Q630,I630))),"REVISAR TE",IF(AND(ISNUMBER(Resumen!$B$3),IF(Q630&lt;&gt;"",Q630,I630)&lt;Resumen!$B$3),"REVISAR",IF(IF(Q630&lt;&gt;"",Q630,I630)&lt;TODAY(),"ATRASADO",IF(IF(Q630&lt;&gt;"",Q630,I630)-TODAY()&lt;=2,"POR VENCER","EN TIEMPO")))))</f>
        <v>ATRASADO</v>
      </c>
      <c r="N630" s="23" t="s">
        <v>940</v>
      </c>
      <c r="P630" s="23" t="s">
        <v>1191</v>
      </c>
      <c r="Q630" s="28"/>
    </row>
    <row r="631" spans="1:17" ht="16.5" x14ac:dyDescent="0.3">
      <c r="A631" s="23" t="s">
        <v>1192</v>
      </c>
      <c r="B631" s="23" t="s">
        <v>52</v>
      </c>
      <c r="C631" s="23" t="s">
        <v>1193</v>
      </c>
      <c r="D631" s="24">
        <v>46226</v>
      </c>
      <c r="E631" s="25">
        <v>13</v>
      </c>
      <c r="F631" s="24">
        <v>46226</v>
      </c>
      <c r="G631" s="23" t="s">
        <v>137</v>
      </c>
      <c r="H631" s="26">
        <v>28</v>
      </c>
      <c r="I631" s="24">
        <f t="shared" si="30"/>
        <v>46254</v>
      </c>
      <c r="J631" s="26">
        <f t="shared" ca="1" si="28"/>
        <v>-50</v>
      </c>
      <c r="K631" s="26">
        <f t="shared" ca="1" si="29"/>
        <v>50</v>
      </c>
      <c r="L631" s="27"/>
      <c r="M631" s="26" t="str">
        <f ca="1">IF(L631&lt;&gt;"","Entregado",IF(NOT(ISNUMBER(IF(Q631&lt;&gt;"",Q631,I631))),"REVISAR TE",IF(AND(ISNUMBER(Resumen!$B$3),IF(Q631&lt;&gt;"",Q631,I631)&lt;Resumen!$B$3),"REVISAR",IF(IF(Q631&lt;&gt;"",Q631,I631)&lt;TODAY(),"ATRASADO",IF(IF(Q631&lt;&gt;"",Q631,I631)-TODAY()&lt;=2,"POR VENCER","EN TIEMPO")))))</f>
        <v>ATRASADO</v>
      </c>
      <c r="N631" s="23" t="s">
        <v>94</v>
      </c>
      <c r="P631" s="23" t="s">
        <v>1194</v>
      </c>
      <c r="Q631" s="28"/>
    </row>
    <row r="632" spans="1:17" ht="16.5" hidden="1" x14ac:dyDescent="0.3">
      <c r="A632" s="23" t="s">
        <v>1195</v>
      </c>
      <c r="B632" s="23" t="s">
        <v>52</v>
      </c>
      <c r="C632" s="23" t="s">
        <v>1196</v>
      </c>
      <c r="D632" s="24">
        <v>46226</v>
      </c>
      <c r="E632" s="25">
        <v>2</v>
      </c>
      <c r="F632" s="24">
        <v>46226</v>
      </c>
      <c r="G632" s="23" t="s">
        <v>128</v>
      </c>
      <c r="H632" s="26">
        <v>5</v>
      </c>
      <c r="I632" s="24">
        <f t="shared" si="30"/>
        <v>46231</v>
      </c>
      <c r="J632" s="26">
        <f t="shared" ca="1" si="28"/>
        <v>-73</v>
      </c>
      <c r="K632" s="26" t="str">
        <f t="shared" ca="1" si="29"/>
        <v/>
      </c>
      <c r="L632" s="27" t="s">
        <v>1567</v>
      </c>
      <c r="M632" s="26" t="str">
        <f ca="1">IF(L632&lt;&gt;"","Entregado",IF(NOT(ISNUMBER(IF(Q632&lt;&gt;"",Q632,I632))),"REVISAR TE",IF(AND(ISNUMBER(Resumen!$B$3),IF(Q632&lt;&gt;"",Q632,I632)&lt;Resumen!$B$3),"REVISAR",IF(IF(Q632&lt;&gt;"",Q632,I632)&lt;TODAY(),"ATRASADO",IF(IF(Q632&lt;&gt;"",Q632,I632)-TODAY()&lt;=2,"POR VENCER","EN TIEMPO")))))</f>
        <v>Entregado</v>
      </c>
      <c r="N632" s="23" t="s">
        <v>197</v>
      </c>
      <c r="P632" s="23" t="s">
        <v>1197</v>
      </c>
      <c r="Q632" s="28"/>
    </row>
    <row r="633" spans="1:17" ht="16.5" hidden="1" x14ac:dyDescent="0.3">
      <c r="A633" s="23" t="s">
        <v>1198</v>
      </c>
      <c r="B633" s="23" t="s">
        <v>52</v>
      </c>
      <c r="C633" s="23" t="s">
        <v>1199</v>
      </c>
      <c r="D633" s="24">
        <v>46226</v>
      </c>
      <c r="E633" s="25">
        <v>5</v>
      </c>
      <c r="F633" s="24">
        <v>46226</v>
      </c>
      <c r="G633" s="23" t="s">
        <v>171</v>
      </c>
      <c r="H633" s="26">
        <v>7</v>
      </c>
      <c r="I633" s="24">
        <f t="shared" si="30"/>
        <v>46233</v>
      </c>
      <c r="J633" s="26">
        <f t="shared" ca="1" si="28"/>
        <v>-71</v>
      </c>
      <c r="K633" s="26" t="str">
        <f t="shared" ca="1" si="29"/>
        <v/>
      </c>
      <c r="L633" s="27" t="s">
        <v>1567</v>
      </c>
      <c r="M633" s="26" t="str">
        <f ca="1">IF(L633&lt;&gt;"","Entregado",IF(NOT(ISNUMBER(IF(Q633&lt;&gt;"",Q633,I633))),"REVISAR TE",IF(AND(ISNUMBER(Resumen!$B$3),IF(Q633&lt;&gt;"",Q633,I633)&lt;Resumen!$B$3),"REVISAR",IF(IF(Q633&lt;&gt;"",Q633,I633)&lt;TODAY(),"ATRASADO",IF(IF(Q633&lt;&gt;"",Q633,I633)-TODAY()&lt;=2,"POR VENCER","EN TIEMPO")))))</f>
        <v>Entregado</v>
      </c>
      <c r="N633" s="23" t="s">
        <v>197</v>
      </c>
      <c r="P633" s="23" t="s">
        <v>1200</v>
      </c>
      <c r="Q633" s="28"/>
    </row>
    <row r="634" spans="1:17" ht="16.5" x14ac:dyDescent="0.3">
      <c r="A634" s="23" t="s">
        <v>1201</v>
      </c>
      <c r="B634" s="23" t="s">
        <v>55</v>
      </c>
      <c r="C634" s="23" t="s">
        <v>1202</v>
      </c>
      <c r="D634" s="24">
        <v>46227</v>
      </c>
      <c r="E634" s="25">
        <v>10</v>
      </c>
      <c r="F634" s="24">
        <v>46227</v>
      </c>
      <c r="G634" s="23" t="s">
        <v>93</v>
      </c>
      <c r="H634" s="26">
        <v>28</v>
      </c>
      <c r="I634" s="24">
        <f t="shared" si="30"/>
        <v>46255</v>
      </c>
      <c r="J634" s="26">
        <f t="shared" ca="1" si="28"/>
        <v>-49</v>
      </c>
      <c r="K634" s="26">
        <f t="shared" ca="1" si="29"/>
        <v>49</v>
      </c>
      <c r="L634" s="27"/>
      <c r="M634" s="26" t="str">
        <f ca="1">IF(L634&lt;&gt;"","Entregado",IF(NOT(ISNUMBER(IF(Q634&lt;&gt;"",Q634,I634))),"REVISAR TE",IF(AND(ISNUMBER(Resumen!$B$3),IF(Q634&lt;&gt;"",Q634,I634)&lt;Resumen!$B$3),"REVISAR",IF(IF(Q634&lt;&gt;"",Q634,I634)&lt;TODAY(),"ATRASADO",IF(IF(Q634&lt;&gt;"",Q634,I634)-TODAY()&lt;=2,"POR VENCER","EN TIEMPO")))))</f>
        <v>ATRASADO</v>
      </c>
      <c r="N634" s="23" t="s">
        <v>98</v>
      </c>
      <c r="P634" s="23" t="s">
        <v>1203</v>
      </c>
      <c r="Q634" s="28"/>
    </row>
    <row r="635" spans="1:17" ht="16.5" x14ac:dyDescent="0.3">
      <c r="A635" s="23" t="s">
        <v>1201</v>
      </c>
      <c r="B635" s="23" t="s">
        <v>55</v>
      </c>
      <c r="C635" s="23" t="s">
        <v>1204</v>
      </c>
      <c r="D635" s="24">
        <v>46227</v>
      </c>
      <c r="E635" s="25">
        <v>1</v>
      </c>
      <c r="F635" s="24">
        <v>46227</v>
      </c>
      <c r="G635" s="23" t="s">
        <v>93</v>
      </c>
      <c r="H635" s="26">
        <v>28</v>
      </c>
      <c r="I635" s="24">
        <f t="shared" si="30"/>
        <v>46255</v>
      </c>
      <c r="J635" s="26">
        <f t="shared" ca="1" si="28"/>
        <v>-49</v>
      </c>
      <c r="K635" s="26">
        <f t="shared" ca="1" si="29"/>
        <v>49</v>
      </c>
      <c r="L635" s="27"/>
      <c r="M635" s="26" t="str">
        <f ca="1">IF(L635&lt;&gt;"","Entregado",IF(NOT(ISNUMBER(IF(Q635&lt;&gt;"",Q635,I635))),"REVISAR TE",IF(AND(ISNUMBER(Resumen!$B$3),IF(Q635&lt;&gt;"",Q635,I635)&lt;Resumen!$B$3),"REVISAR",IF(IF(Q635&lt;&gt;"",Q635,I635)&lt;TODAY(),"ATRASADO",IF(IF(Q635&lt;&gt;"",Q635,I635)-TODAY()&lt;=2,"POR VENCER","EN TIEMPO")))))</f>
        <v>ATRASADO</v>
      </c>
      <c r="N635" s="23" t="s">
        <v>245</v>
      </c>
      <c r="P635" s="23" t="s">
        <v>1203</v>
      </c>
      <c r="Q635" s="28"/>
    </row>
    <row r="636" spans="1:17" ht="16.5" x14ac:dyDescent="0.3">
      <c r="A636" s="23" t="s">
        <v>1205</v>
      </c>
      <c r="B636" s="23" t="s">
        <v>58</v>
      </c>
      <c r="C636" s="23" t="s">
        <v>1206</v>
      </c>
      <c r="D636" s="24">
        <v>46227</v>
      </c>
      <c r="E636" s="25">
        <v>1</v>
      </c>
      <c r="F636" s="24">
        <v>46227</v>
      </c>
      <c r="G636" s="23" t="s">
        <v>83</v>
      </c>
      <c r="H636" s="26">
        <v>21</v>
      </c>
      <c r="I636" s="24">
        <f t="shared" si="30"/>
        <v>46248</v>
      </c>
      <c r="J636" s="26">
        <f t="shared" ca="1" si="28"/>
        <v>-56</v>
      </c>
      <c r="K636" s="26">
        <f t="shared" ca="1" si="29"/>
        <v>56</v>
      </c>
      <c r="L636" s="27"/>
      <c r="M636" s="26" t="str">
        <f ca="1">IF(L636&lt;&gt;"","Entregado",IF(NOT(ISNUMBER(IF(Q636&lt;&gt;"",Q636,I636))),"REVISAR TE",IF(AND(ISNUMBER(Resumen!$B$3),IF(Q636&lt;&gt;"",Q636,I636)&lt;Resumen!$B$3),"REVISAR",IF(IF(Q636&lt;&gt;"",Q636,I636)&lt;TODAY(),"ATRASADO",IF(IF(Q636&lt;&gt;"",Q636,I636)-TODAY()&lt;=2,"POR VENCER","EN TIEMPO")))))</f>
        <v>ATRASADO</v>
      </c>
      <c r="N636" s="23" t="s">
        <v>84</v>
      </c>
      <c r="P636" s="23" t="s">
        <v>1207</v>
      </c>
      <c r="Q636" s="28"/>
    </row>
    <row r="637" spans="1:17" ht="16.5" hidden="1" x14ac:dyDescent="0.3">
      <c r="A637" s="23" t="s">
        <v>1208</v>
      </c>
      <c r="B637" s="23" t="s">
        <v>52</v>
      </c>
      <c r="C637" s="23" t="s">
        <v>1209</v>
      </c>
      <c r="D637" s="24">
        <v>46231</v>
      </c>
      <c r="E637" s="25">
        <v>1</v>
      </c>
      <c r="F637" s="24">
        <v>46231</v>
      </c>
      <c r="G637" s="23" t="s">
        <v>171</v>
      </c>
      <c r="H637" s="26">
        <v>7</v>
      </c>
      <c r="I637" s="24">
        <f t="shared" si="30"/>
        <v>46238</v>
      </c>
      <c r="J637" s="26">
        <f t="shared" ca="1" si="28"/>
        <v>-66</v>
      </c>
      <c r="K637" s="26" t="str">
        <f t="shared" ca="1" si="29"/>
        <v/>
      </c>
      <c r="L637" s="27" t="s">
        <v>1567</v>
      </c>
      <c r="M637" s="26" t="str">
        <f ca="1">IF(L637&lt;&gt;"","Entregado",IF(NOT(ISNUMBER(IF(Q637&lt;&gt;"",Q637,I637))),"REVISAR TE",IF(AND(ISNUMBER(Resumen!$B$3),IF(Q637&lt;&gt;"",Q637,I637)&lt;Resumen!$B$3),"REVISAR",IF(IF(Q637&lt;&gt;"",Q637,I637)&lt;TODAY(),"ATRASADO",IF(IF(Q637&lt;&gt;"",Q637,I637)-TODAY()&lt;=2,"POR VENCER","EN TIEMPO")))))</f>
        <v>Entregado</v>
      </c>
      <c r="N637" s="23" t="s">
        <v>672</v>
      </c>
      <c r="P637" s="23" t="s">
        <v>1210</v>
      </c>
      <c r="Q637" s="28"/>
    </row>
    <row r="638" spans="1:17" ht="16.5" x14ac:dyDescent="0.3">
      <c r="A638" s="23" t="s">
        <v>1211</v>
      </c>
      <c r="B638" s="23" t="s">
        <v>52</v>
      </c>
      <c r="C638" s="23" t="s">
        <v>1212</v>
      </c>
      <c r="D638" s="24">
        <v>46231</v>
      </c>
      <c r="E638" s="25">
        <v>25</v>
      </c>
      <c r="F638" s="24">
        <v>46231</v>
      </c>
      <c r="G638" s="23" t="s">
        <v>93</v>
      </c>
      <c r="H638" s="26">
        <v>28</v>
      </c>
      <c r="I638" s="24">
        <f t="shared" si="30"/>
        <v>46259</v>
      </c>
      <c r="J638" s="26">
        <f t="shared" ca="1" si="28"/>
        <v>-45</v>
      </c>
      <c r="K638" s="26">
        <f t="shared" ca="1" si="29"/>
        <v>45</v>
      </c>
      <c r="L638" s="27"/>
      <c r="M638" s="26" t="str">
        <f ca="1">IF(L638&lt;&gt;"","Entregado",IF(NOT(ISNUMBER(IF(Q638&lt;&gt;"",Q638,I638))),"REVISAR TE",IF(AND(ISNUMBER(Resumen!$B$3),IF(Q638&lt;&gt;"",Q638,I638)&lt;Resumen!$B$3),"REVISAR",IF(IF(Q638&lt;&gt;"",Q638,I638)&lt;TODAY(),"ATRASADO",IF(IF(Q638&lt;&gt;"",Q638,I638)-TODAY()&lt;=2,"POR VENCER","EN TIEMPO")))))</f>
        <v>ATRASADO</v>
      </c>
      <c r="N638" s="23" t="s">
        <v>98</v>
      </c>
      <c r="P638" s="23" t="s">
        <v>1213</v>
      </c>
      <c r="Q638" s="28"/>
    </row>
    <row r="639" spans="1:17" ht="16.5" x14ac:dyDescent="0.3">
      <c r="A639" s="23" t="s">
        <v>1214</v>
      </c>
      <c r="B639" s="23" t="s">
        <v>52</v>
      </c>
      <c r="C639" s="23" t="s">
        <v>1215</v>
      </c>
      <c r="D639" s="24">
        <v>46233</v>
      </c>
      <c r="E639" s="25">
        <v>2</v>
      </c>
      <c r="F639" s="24">
        <v>46233</v>
      </c>
      <c r="G639" s="23" t="s">
        <v>180</v>
      </c>
      <c r="H639" s="26">
        <v>14</v>
      </c>
      <c r="I639" s="24">
        <f t="shared" si="30"/>
        <v>46247</v>
      </c>
      <c r="J639" s="26">
        <f t="shared" ca="1" si="28"/>
        <v>-57</v>
      </c>
      <c r="K639" s="26">
        <f t="shared" ca="1" si="29"/>
        <v>57</v>
      </c>
      <c r="L639" s="27"/>
      <c r="M639" s="26" t="str">
        <f ca="1">IF(L639&lt;&gt;"","Entregado",IF(NOT(ISNUMBER(IF(Q639&lt;&gt;"",Q639,I639))),"REVISAR TE",IF(AND(ISNUMBER(Resumen!$B$3),IF(Q639&lt;&gt;"",Q639,I639)&lt;Resumen!$B$3),"REVISAR",IF(IF(Q639&lt;&gt;"",Q639,I639)&lt;TODAY(),"ATRASADO",IF(IF(Q639&lt;&gt;"",Q639,I639)-TODAY()&lt;=2,"POR VENCER","EN TIEMPO")))))</f>
        <v>ATRASADO</v>
      </c>
      <c r="N639" s="23" t="s">
        <v>796</v>
      </c>
      <c r="P639" s="23" t="s">
        <v>1216</v>
      </c>
      <c r="Q639" s="28"/>
    </row>
    <row r="640" spans="1:17" ht="16.5" x14ac:dyDescent="0.3">
      <c r="A640" s="23" t="s">
        <v>1217</v>
      </c>
      <c r="B640" s="23" t="s">
        <v>52</v>
      </c>
      <c r="C640" s="23" t="s">
        <v>1218</v>
      </c>
      <c r="D640" s="24">
        <v>46233</v>
      </c>
      <c r="E640" s="25">
        <v>5</v>
      </c>
      <c r="F640" s="24">
        <v>46233</v>
      </c>
      <c r="G640" s="23" t="s">
        <v>156</v>
      </c>
      <c r="H640" s="26">
        <v>21</v>
      </c>
      <c r="I640" s="24">
        <f t="shared" si="30"/>
        <v>46254</v>
      </c>
      <c r="J640" s="26">
        <f t="shared" ca="1" si="28"/>
        <v>-50</v>
      </c>
      <c r="K640" s="26">
        <f t="shared" ca="1" si="29"/>
        <v>50</v>
      </c>
      <c r="L640" s="27"/>
      <c r="M640" s="26" t="str">
        <f ca="1">IF(L640&lt;&gt;"","Entregado",IF(NOT(ISNUMBER(IF(Q640&lt;&gt;"",Q640,I640))),"REVISAR TE",IF(AND(ISNUMBER(Resumen!$B$3),IF(Q640&lt;&gt;"",Q640,I640)&lt;Resumen!$B$3),"REVISAR",IF(IF(Q640&lt;&gt;"",Q640,I640)&lt;TODAY(),"ATRASADO",IF(IF(Q640&lt;&gt;"",Q640,I640)-TODAY()&lt;=2,"POR VENCER","EN TIEMPO")))))</f>
        <v>ATRASADO</v>
      </c>
      <c r="N640" s="23" t="s">
        <v>94</v>
      </c>
      <c r="P640" s="23" t="s">
        <v>1219</v>
      </c>
      <c r="Q640" s="28"/>
    </row>
    <row r="641" spans="1:17" ht="16.5" x14ac:dyDescent="0.3">
      <c r="A641" s="23" t="s">
        <v>1217</v>
      </c>
      <c r="B641" s="23" t="s">
        <v>52</v>
      </c>
      <c r="C641" s="23" t="s">
        <v>175</v>
      </c>
      <c r="D641" s="24">
        <v>46233</v>
      </c>
      <c r="E641" s="25">
        <v>1</v>
      </c>
      <c r="F641" s="24">
        <v>46233</v>
      </c>
      <c r="G641" s="23" t="s">
        <v>156</v>
      </c>
      <c r="H641" s="26">
        <v>21</v>
      </c>
      <c r="I641" s="24">
        <f t="shared" si="30"/>
        <v>46254</v>
      </c>
      <c r="J641" s="26">
        <f t="shared" ca="1" si="28"/>
        <v>-50</v>
      </c>
      <c r="K641" s="26">
        <f t="shared" ca="1" si="29"/>
        <v>50</v>
      </c>
      <c r="L641" s="27"/>
      <c r="M641" s="26" t="str">
        <f ca="1">IF(L641&lt;&gt;"","Entregado",IF(NOT(ISNUMBER(IF(Q641&lt;&gt;"",Q641,I641))),"REVISAR TE",IF(AND(ISNUMBER(Resumen!$B$3),IF(Q641&lt;&gt;"",Q641,I641)&lt;Resumen!$B$3),"REVISAR",IF(IF(Q641&lt;&gt;"",Q641,I641)&lt;TODAY(),"ATRASADO",IF(IF(Q641&lt;&gt;"",Q641,I641)-TODAY()&lt;=2,"POR VENCER","EN TIEMPO")))))</f>
        <v>ATRASADO</v>
      </c>
      <c r="N641" s="23" t="s">
        <v>174</v>
      </c>
      <c r="P641" s="23" t="s">
        <v>1219</v>
      </c>
      <c r="Q641" s="28"/>
    </row>
    <row r="642" spans="1:17" ht="16.5" x14ac:dyDescent="0.3">
      <c r="A642" s="23" t="s">
        <v>1220</v>
      </c>
      <c r="B642" s="23" t="s">
        <v>53</v>
      </c>
      <c r="C642" s="23" t="s">
        <v>1221</v>
      </c>
      <c r="D642" s="24">
        <v>46233</v>
      </c>
      <c r="E642" s="25">
        <v>5</v>
      </c>
      <c r="F642" s="24">
        <v>46233</v>
      </c>
      <c r="G642" s="23" t="s">
        <v>93</v>
      </c>
      <c r="H642" s="26">
        <v>28</v>
      </c>
      <c r="I642" s="24">
        <f t="shared" si="30"/>
        <v>46261</v>
      </c>
      <c r="J642" s="26">
        <f t="shared" ref="J642:J705" ca="1" si="31">I642-TODAY()</f>
        <v>-43</v>
      </c>
      <c r="K642" s="26">
        <f t="shared" ref="K642:K705" ca="1" si="32">IF(AND(L642="",ISNUMBER(IF(Q642&lt;&gt;"",Q642,I642))),IF(IF(Q642&lt;&gt;"",Q642,I642)&lt;TODAY(),TODAY()-IF(Q642&lt;&gt;"",Q642,I642),""),"")</f>
        <v>43</v>
      </c>
      <c r="L642" s="27"/>
      <c r="M642" s="26" t="str">
        <f ca="1">IF(L642&lt;&gt;"","Entregado",IF(NOT(ISNUMBER(IF(Q642&lt;&gt;"",Q642,I642))),"REVISAR TE",IF(AND(ISNUMBER(Resumen!$B$3),IF(Q642&lt;&gt;"",Q642,I642)&lt;Resumen!$B$3),"REVISAR",IF(IF(Q642&lt;&gt;"",Q642,I642)&lt;TODAY(),"ATRASADO",IF(IF(Q642&lt;&gt;"",Q642,I642)-TODAY()&lt;=2,"POR VENCER","EN TIEMPO")))))</f>
        <v>ATRASADO</v>
      </c>
      <c r="N642" s="23" t="s">
        <v>899</v>
      </c>
      <c r="P642" s="23" t="s">
        <v>1222</v>
      </c>
      <c r="Q642" s="28"/>
    </row>
    <row r="643" spans="1:17" ht="16.5" x14ac:dyDescent="0.3">
      <c r="A643" s="23" t="s">
        <v>1220</v>
      </c>
      <c r="B643" s="23" t="s">
        <v>53</v>
      </c>
      <c r="C643" s="23" t="s">
        <v>1223</v>
      </c>
      <c r="D643" s="24">
        <v>46233</v>
      </c>
      <c r="E643" s="25">
        <v>1</v>
      </c>
      <c r="F643" s="24">
        <v>46233</v>
      </c>
      <c r="G643" s="23" t="s">
        <v>93</v>
      </c>
      <c r="H643" s="26">
        <v>28</v>
      </c>
      <c r="I643" s="24">
        <f t="shared" si="30"/>
        <v>46261</v>
      </c>
      <c r="J643" s="26">
        <f t="shared" ca="1" si="31"/>
        <v>-43</v>
      </c>
      <c r="K643" s="26">
        <f t="shared" ca="1" si="32"/>
        <v>43</v>
      </c>
      <c r="L643" s="27"/>
      <c r="M643" s="26" t="str">
        <f ca="1">IF(L643&lt;&gt;"","Entregado",IF(NOT(ISNUMBER(IF(Q643&lt;&gt;"",Q643,I643))),"REVISAR TE",IF(AND(ISNUMBER(Resumen!$B$3),IF(Q643&lt;&gt;"",Q643,I643)&lt;Resumen!$B$3),"REVISAR",IF(IF(Q643&lt;&gt;"",Q643,I643)&lt;TODAY(),"ATRASADO",IF(IF(Q643&lt;&gt;"",Q643,I643)-TODAY()&lt;=2,"POR VENCER","EN TIEMPO")))))</f>
        <v>ATRASADO</v>
      </c>
      <c r="N643" s="23" t="s">
        <v>920</v>
      </c>
      <c r="P643" s="23" t="s">
        <v>1222</v>
      </c>
      <c r="Q643" s="28"/>
    </row>
    <row r="644" spans="1:17" ht="16.5" x14ac:dyDescent="0.3">
      <c r="A644" s="23" t="s">
        <v>1220</v>
      </c>
      <c r="B644" s="23" t="s">
        <v>53</v>
      </c>
      <c r="C644" s="23" t="s">
        <v>1224</v>
      </c>
      <c r="D644" s="24">
        <v>46233</v>
      </c>
      <c r="E644" s="25">
        <v>1</v>
      </c>
      <c r="F644" s="24">
        <v>46233</v>
      </c>
      <c r="G644" s="23" t="s">
        <v>93</v>
      </c>
      <c r="H644" s="26">
        <v>28</v>
      </c>
      <c r="I644" s="24">
        <f t="shared" si="30"/>
        <v>46261</v>
      </c>
      <c r="J644" s="26">
        <f t="shared" ca="1" si="31"/>
        <v>-43</v>
      </c>
      <c r="K644" s="26">
        <f t="shared" ca="1" si="32"/>
        <v>43</v>
      </c>
      <c r="L644" s="27"/>
      <c r="M644" s="26" t="str">
        <f ca="1">IF(L644&lt;&gt;"","Entregado",IF(NOT(ISNUMBER(IF(Q644&lt;&gt;"",Q644,I644))),"REVISAR TE",IF(AND(ISNUMBER(Resumen!$B$3),IF(Q644&lt;&gt;"",Q644,I644)&lt;Resumen!$B$3),"REVISAR",IF(IF(Q644&lt;&gt;"",Q644,I644)&lt;TODAY(),"ATRASADO",IF(IF(Q644&lt;&gt;"",Q644,I644)-TODAY()&lt;=2,"POR VENCER","EN TIEMPO")))))</f>
        <v>ATRASADO</v>
      </c>
      <c r="N644" s="23" t="s">
        <v>920</v>
      </c>
      <c r="P644" s="23" t="s">
        <v>1222</v>
      </c>
      <c r="Q644" s="28"/>
    </row>
    <row r="645" spans="1:17" ht="16.5" x14ac:dyDescent="0.3">
      <c r="A645" s="23" t="s">
        <v>1220</v>
      </c>
      <c r="B645" s="23" t="s">
        <v>53</v>
      </c>
      <c r="C645" s="23" t="s">
        <v>1225</v>
      </c>
      <c r="D645" s="24">
        <v>46233</v>
      </c>
      <c r="E645" s="25">
        <v>1</v>
      </c>
      <c r="F645" s="24">
        <v>46233</v>
      </c>
      <c r="G645" s="23" t="s">
        <v>93</v>
      </c>
      <c r="H645" s="26">
        <v>28</v>
      </c>
      <c r="I645" s="24">
        <f t="shared" si="30"/>
        <v>46261</v>
      </c>
      <c r="J645" s="26">
        <f t="shared" ca="1" si="31"/>
        <v>-43</v>
      </c>
      <c r="K645" s="26">
        <f t="shared" ca="1" si="32"/>
        <v>43</v>
      </c>
      <c r="L645" s="27"/>
      <c r="M645" s="26" t="str">
        <f ca="1">IF(L645&lt;&gt;"","Entregado",IF(NOT(ISNUMBER(IF(Q645&lt;&gt;"",Q645,I645))),"REVISAR TE",IF(AND(ISNUMBER(Resumen!$B$3),IF(Q645&lt;&gt;"",Q645,I645)&lt;Resumen!$B$3),"REVISAR",IF(IF(Q645&lt;&gt;"",Q645,I645)&lt;TODAY(),"ATRASADO",IF(IF(Q645&lt;&gt;"",Q645,I645)-TODAY()&lt;=2,"POR VENCER","EN TIEMPO")))))</f>
        <v>ATRASADO</v>
      </c>
      <c r="N645" s="23" t="s">
        <v>920</v>
      </c>
      <c r="P645" s="23" t="s">
        <v>1222</v>
      </c>
      <c r="Q645" s="28"/>
    </row>
    <row r="646" spans="1:17" ht="16.5" x14ac:dyDescent="0.3">
      <c r="A646" s="23" t="s">
        <v>1226</v>
      </c>
      <c r="B646" s="23" t="s">
        <v>52</v>
      </c>
      <c r="C646" s="23" t="s">
        <v>1227</v>
      </c>
      <c r="D646" s="24">
        <v>46235</v>
      </c>
      <c r="E646" s="25">
        <v>1</v>
      </c>
      <c r="F646" s="24">
        <v>46235</v>
      </c>
      <c r="G646" s="23" t="s">
        <v>103</v>
      </c>
      <c r="H646" s="26">
        <v>35</v>
      </c>
      <c r="I646" s="24">
        <f t="shared" si="30"/>
        <v>46270</v>
      </c>
      <c r="J646" s="26">
        <f t="shared" ca="1" si="31"/>
        <v>-34</v>
      </c>
      <c r="K646" s="26">
        <f t="shared" ca="1" si="32"/>
        <v>34</v>
      </c>
      <c r="L646" s="27"/>
      <c r="M646" s="26" t="str">
        <f ca="1">IF(L646&lt;&gt;"","Entregado",IF(NOT(ISNUMBER(IF(Q646&lt;&gt;"",Q646,I646))),"REVISAR TE",IF(AND(ISNUMBER(Resumen!$B$3),IF(Q646&lt;&gt;"",Q646,I646)&lt;Resumen!$B$3),"REVISAR",IF(IF(Q646&lt;&gt;"",Q646,I646)&lt;TODAY(),"ATRASADO",IF(IF(Q646&lt;&gt;"",Q646,I646)-TODAY()&lt;=2,"POR VENCER","EN TIEMPO")))))</f>
        <v>ATRASADO</v>
      </c>
      <c r="N646" s="23" t="s">
        <v>245</v>
      </c>
      <c r="P646" s="23" t="s">
        <v>1228</v>
      </c>
      <c r="Q646" s="28"/>
    </row>
    <row r="647" spans="1:17" ht="16.5" x14ac:dyDescent="0.3">
      <c r="A647" s="23" t="s">
        <v>1229</v>
      </c>
      <c r="B647" s="23" t="s">
        <v>52</v>
      </c>
      <c r="C647" s="23" t="s">
        <v>1230</v>
      </c>
      <c r="D647" s="24">
        <v>46235</v>
      </c>
      <c r="E647" s="25">
        <v>1</v>
      </c>
      <c r="F647" s="24">
        <v>46235</v>
      </c>
      <c r="G647" s="23" t="s">
        <v>103</v>
      </c>
      <c r="H647" s="26">
        <v>35</v>
      </c>
      <c r="I647" s="24">
        <f t="shared" si="30"/>
        <v>46270</v>
      </c>
      <c r="J647" s="26">
        <f t="shared" ca="1" si="31"/>
        <v>-34</v>
      </c>
      <c r="K647" s="26">
        <f t="shared" ca="1" si="32"/>
        <v>34</v>
      </c>
      <c r="L647" s="27"/>
      <c r="M647" s="26" t="str">
        <f ca="1">IF(L647&lt;&gt;"","Entregado",IF(NOT(ISNUMBER(IF(Q647&lt;&gt;"",Q647,I647))),"REVISAR TE",IF(AND(ISNUMBER(Resumen!$B$3),IF(Q647&lt;&gt;"",Q647,I647)&lt;Resumen!$B$3),"REVISAR",IF(IF(Q647&lt;&gt;"",Q647,I647)&lt;TODAY(),"ATRASADO",IF(IF(Q647&lt;&gt;"",Q647,I647)-TODAY()&lt;=2,"POR VENCER","EN TIEMPO")))))</f>
        <v>ATRASADO</v>
      </c>
      <c r="N647" s="23" t="s">
        <v>245</v>
      </c>
      <c r="P647" s="23" t="s">
        <v>1231</v>
      </c>
      <c r="Q647" s="28"/>
    </row>
    <row r="648" spans="1:17" ht="16.5" x14ac:dyDescent="0.3">
      <c r="A648" s="23" t="s">
        <v>1232</v>
      </c>
      <c r="B648" s="23" t="s">
        <v>52</v>
      </c>
      <c r="C648" s="23" t="s">
        <v>1233</v>
      </c>
      <c r="D648" s="24">
        <v>46235</v>
      </c>
      <c r="E648" s="25">
        <v>1</v>
      </c>
      <c r="F648" s="24">
        <v>46235</v>
      </c>
      <c r="G648" s="23" t="s">
        <v>137</v>
      </c>
      <c r="H648" s="26">
        <v>28</v>
      </c>
      <c r="I648" s="24">
        <f t="shared" si="30"/>
        <v>46263</v>
      </c>
      <c r="J648" s="26">
        <f t="shared" ca="1" si="31"/>
        <v>-41</v>
      </c>
      <c r="K648" s="26">
        <f t="shared" ca="1" si="32"/>
        <v>41</v>
      </c>
      <c r="L648" s="27"/>
      <c r="M648" s="26" t="str">
        <f ca="1">IF(L648&lt;&gt;"","Entregado",IF(NOT(ISNUMBER(IF(Q648&lt;&gt;"",Q648,I648))),"REVISAR TE",IF(AND(ISNUMBER(Resumen!$B$3),IF(Q648&lt;&gt;"",Q648,I648)&lt;Resumen!$B$3),"REVISAR",IF(IF(Q648&lt;&gt;"",Q648,I648)&lt;TODAY(),"ATRASADO",IF(IF(Q648&lt;&gt;"",Q648,I648)-TODAY()&lt;=2,"POR VENCER","EN TIEMPO")))))</f>
        <v>ATRASADO</v>
      </c>
      <c r="N648" s="23" t="s">
        <v>245</v>
      </c>
      <c r="P648" s="23" t="s">
        <v>1234</v>
      </c>
      <c r="Q648" s="28"/>
    </row>
    <row r="649" spans="1:17" ht="16.5" x14ac:dyDescent="0.3">
      <c r="A649" s="23" t="s">
        <v>1235</v>
      </c>
      <c r="B649" s="23" t="s">
        <v>52</v>
      </c>
      <c r="C649" s="23" t="s">
        <v>1236</v>
      </c>
      <c r="D649" s="24">
        <v>46235</v>
      </c>
      <c r="E649" s="25">
        <v>1</v>
      </c>
      <c r="F649" s="24">
        <v>46235</v>
      </c>
      <c r="G649" s="23" t="s">
        <v>103</v>
      </c>
      <c r="H649" s="26">
        <v>35</v>
      </c>
      <c r="I649" s="24">
        <f t="shared" ref="I649:I712" si="33">IF(AND(D649&lt;&gt;"",H649&lt;&gt;""),D649+H649,"")</f>
        <v>46270</v>
      </c>
      <c r="J649" s="26">
        <f t="shared" ca="1" si="31"/>
        <v>-34</v>
      </c>
      <c r="K649" s="26">
        <f t="shared" ca="1" si="32"/>
        <v>34</v>
      </c>
      <c r="L649" s="27"/>
      <c r="M649" s="26" t="str">
        <f ca="1">IF(L649&lt;&gt;"","Entregado",IF(NOT(ISNUMBER(IF(Q649&lt;&gt;"",Q649,I649))),"REVISAR TE",IF(AND(ISNUMBER(Resumen!$B$3),IF(Q649&lt;&gt;"",Q649,I649)&lt;Resumen!$B$3),"REVISAR",IF(IF(Q649&lt;&gt;"",Q649,I649)&lt;TODAY(),"ATRASADO",IF(IF(Q649&lt;&gt;"",Q649,I649)-TODAY()&lt;=2,"POR VENCER","EN TIEMPO")))))</f>
        <v>ATRASADO</v>
      </c>
      <c r="N649" s="23" t="s">
        <v>245</v>
      </c>
      <c r="P649" s="23" t="s">
        <v>1237</v>
      </c>
      <c r="Q649" s="28"/>
    </row>
    <row r="650" spans="1:17" ht="16.5" x14ac:dyDescent="0.3">
      <c r="A650" s="23" t="s">
        <v>1238</v>
      </c>
      <c r="B650" s="23" t="s">
        <v>52</v>
      </c>
      <c r="C650" s="23" t="s">
        <v>1239</v>
      </c>
      <c r="D650" s="24">
        <v>46235</v>
      </c>
      <c r="E650" s="25">
        <v>1</v>
      </c>
      <c r="F650" s="24">
        <v>46235</v>
      </c>
      <c r="G650" s="23" t="s">
        <v>137</v>
      </c>
      <c r="H650" s="26">
        <v>28</v>
      </c>
      <c r="I650" s="24">
        <f t="shared" si="33"/>
        <v>46263</v>
      </c>
      <c r="J650" s="26">
        <f t="shared" ca="1" si="31"/>
        <v>-41</v>
      </c>
      <c r="K650" s="26">
        <f t="shared" ca="1" si="32"/>
        <v>41</v>
      </c>
      <c r="L650" s="27"/>
      <c r="M650" s="26" t="str">
        <f ca="1">IF(L650&lt;&gt;"","Entregado",IF(NOT(ISNUMBER(IF(Q650&lt;&gt;"",Q650,I650))),"REVISAR TE",IF(AND(ISNUMBER(Resumen!$B$3),IF(Q650&lt;&gt;"",Q650,I650)&lt;Resumen!$B$3),"REVISAR",IF(IF(Q650&lt;&gt;"",Q650,I650)&lt;TODAY(),"ATRASADO",IF(IF(Q650&lt;&gt;"",Q650,I650)-TODAY()&lt;=2,"POR VENCER","EN TIEMPO")))))</f>
        <v>ATRASADO</v>
      </c>
      <c r="N650" s="23" t="s">
        <v>245</v>
      </c>
      <c r="P650" s="23" t="s">
        <v>1240</v>
      </c>
      <c r="Q650" s="28"/>
    </row>
    <row r="651" spans="1:17" ht="16.5" x14ac:dyDescent="0.3">
      <c r="A651" s="23" t="s">
        <v>1241</v>
      </c>
      <c r="B651" s="23" t="s">
        <v>52</v>
      </c>
      <c r="C651" s="23" t="s">
        <v>1242</v>
      </c>
      <c r="D651" s="24">
        <v>46235</v>
      </c>
      <c r="E651" s="25">
        <v>1</v>
      </c>
      <c r="F651" s="24">
        <v>46235</v>
      </c>
      <c r="G651" s="23" t="s">
        <v>137</v>
      </c>
      <c r="H651" s="26">
        <v>28</v>
      </c>
      <c r="I651" s="24">
        <f t="shared" si="33"/>
        <v>46263</v>
      </c>
      <c r="J651" s="26">
        <f t="shared" ca="1" si="31"/>
        <v>-41</v>
      </c>
      <c r="K651" s="26">
        <f t="shared" ca="1" si="32"/>
        <v>41</v>
      </c>
      <c r="L651" s="27"/>
      <c r="M651" s="26" t="str">
        <f ca="1">IF(L651&lt;&gt;"","Entregado",IF(NOT(ISNUMBER(IF(Q651&lt;&gt;"",Q651,I651))),"REVISAR TE",IF(AND(ISNUMBER(Resumen!$B$3),IF(Q651&lt;&gt;"",Q651,I651)&lt;Resumen!$B$3),"REVISAR",IF(IF(Q651&lt;&gt;"",Q651,I651)&lt;TODAY(),"ATRASADO",IF(IF(Q651&lt;&gt;"",Q651,I651)-TODAY()&lt;=2,"POR VENCER","EN TIEMPO")))))</f>
        <v>ATRASADO</v>
      </c>
      <c r="N651" s="23" t="s">
        <v>245</v>
      </c>
      <c r="P651" s="23" t="s">
        <v>1243</v>
      </c>
      <c r="Q651" s="28"/>
    </row>
    <row r="652" spans="1:17" ht="16.5" x14ac:dyDescent="0.3">
      <c r="A652" s="23" t="s">
        <v>1244</v>
      </c>
      <c r="B652" s="23" t="s">
        <v>52</v>
      </c>
      <c r="C652" s="23" t="s">
        <v>1245</v>
      </c>
      <c r="D652" s="24">
        <v>46235</v>
      </c>
      <c r="E652" s="25">
        <v>1</v>
      </c>
      <c r="F652" s="24">
        <v>46235</v>
      </c>
      <c r="G652" s="23" t="s">
        <v>103</v>
      </c>
      <c r="H652" s="26">
        <v>35</v>
      </c>
      <c r="I652" s="24">
        <f t="shared" si="33"/>
        <v>46270</v>
      </c>
      <c r="J652" s="26">
        <f t="shared" ca="1" si="31"/>
        <v>-34</v>
      </c>
      <c r="K652" s="26">
        <f t="shared" ca="1" si="32"/>
        <v>34</v>
      </c>
      <c r="L652" s="27"/>
      <c r="M652" s="26" t="str">
        <f ca="1">IF(L652&lt;&gt;"","Entregado",IF(NOT(ISNUMBER(IF(Q652&lt;&gt;"",Q652,I652))),"REVISAR TE",IF(AND(ISNUMBER(Resumen!$B$3),IF(Q652&lt;&gt;"",Q652,I652)&lt;Resumen!$B$3),"REVISAR",IF(IF(Q652&lt;&gt;"",Q652,I652)&lt;TODAY(),"ATRASADO",IF(IF(Q652&lt;&gt;"",Q652,I652)-TODAY()&lt;=2,"POR VENCER","EN TIEMPO")))))</f>
        <v>ATRASADO</v>
      </c>
      <c r="N652" s="23" t="s">
        <v>245</v>
      </c>
      <c r="P652" s="23" t="s">
        <v>1246</v>
      </c>
      <c r="Q652" s="28"/>
    </row>
    <row r="653" spans="1:17" ht="16.5" x14ac:dyDescent="0.3">
      <c r="A653" s="23" t="s">
        <v>1247</v>
      </c>
      <c r="B653" s="23" t="s">
        <v>52</v>
      </c>
      <c r="C653" s="23" t="s">
        <v>1248</v>
      </c>
      <c r="D653" s="24">
        <v>46235</v>
      </c>
      <c r="E653" s="25">
        <v>9</v>
      </c>
      <c r="F653" s="24">
        <v>46235</v>
      </c>
      <c r="G653" s="23" t="s">
        <v>93</v>
      </c>
      <c r="H653" s="26">
        <v>28</v>
      </c>
      <c r="I653" s="24">
        <f t="shared" si="33"/>
        <v>46263</v>
      </c>
      <c r="J653" s="26">
        <f t="shared" ca="1" si="31"/>
        <v>-41</v>
      </c>
      <c r="K653" s="26">
        <f t="shared" ca="1" si="32"/>
        <v>41</v>
      </c>
      <c r="L653" s="27"/>
      <c r="M653" s="26" t="str">
        <f ca="1">IF(L653&lt;&gt;"","Entregado",IF(NOT(ISNUMBER(IF(Q653&lt;&gt;"",Q653,I653))),"REVISAR TE",IF(AND(ISNUMBER(Resumen!$B$3),IF(Q653&lt;&gt;"",Q653,I653)&lt;Resumen!$B$3),"REVISAR",IF(IF(Q653&lt;&gt;"",Q653,I653)&lt;TODAY(),"ATRASADO",IF(IF(Q653&lt;&gt;"",Q653,I653)-TODAY()&lt;=2,"POR VENCER","EN TIEMPO")))))</f>
        <v>ATRASADO</v>
      </c>
      <c r="N653" s="23" t="s">
        <v>94</v>
      </c>
      <c r="P653" s="23" t="s">
        <v>1249</v>
      </c>
      <c r="Q653" s="28"/>
    </row>
    <row r="654" spans="1:17" ht="16.5" x14ac:dyDescent="0.3">
      <c r="A654" s="23" t="s">
        <v>1247</v>
      </c>
      <c r="B654" s="23" t="s">
        <v>52</v>
      </c>
      <c r="C654" s="23" t="s">
        <v>1250</v>
      </c>
      <c r="D654" s="24">
        <v>46235</v>
      </c>
      <c r="E654" s="25">
        <v>9</v>
      </c>
      <c r="F654" s="24">
        <v>46235</v>
      </c>
      <c r="G654" s="23" t="s">
        <v>93</v>
      </c>
      <c r="H654" s="26">
        <v>28</v>
      </c>
      <c r="I654" s="24">
        <f t="shared" si="33"/>
        <v>46263</v>
      </c>
      <c r="J654" s="26">
        <f t="shared" ca="1" si="31"/>
        <v>-41</v>
      </c>
      <c r="K654" s="26">
        <f t="shared" ca="1" si="32"/>
        <v>41</v>
      </c>
      <c r="L654" s="27"/>
      <c r="M654" s="26" t="str">
        <f ca="1">IF(L654&lt;&gt;"","Entregado",IF(NOT(ISNUMBER(IF(Q654&lt;&gt;"",Q654,I654))),"REVISAR TE",IF(AND(ISNUMBER(Resumen!$B$3),IF(Q654&lt;&gt;"",Q654,I654)&lt;Resumen!$B$3),"REVISAR",IF(IF(Q654&lt;&gt;"",Q654,I654)&lt;TODAY(),"ATRASADO",IF(IF(Q654&lt;&gt;"",Q654,I654)-TODAY()&lt;=2,"POR VENCER","EN TIEMPO")))))</f>
        <v>ATRASADO</v>
      </c>
      <c r="N654" s="23" t="s">
        <v>94</v>
      </c>
      <c r="P654" s="23" t="s">
        <v>1249</v>
      </c>
      <c r="Q654" s="28"/>
    </row>
    <row r="655" spans="1:17" ht="16.5" x14ac:dyDescent="0.3">
      <c r="A655" s="23" t="s">
        <v>1247</v>
      </c>
      <c r="B655" s="23" t="s">
        <v>52</v>
      </c>
      <c r="C655" s="23" t="s">
        <v>1251</v>
      </c>
      <c r="D655" s="24">
        <v>46235</v>
      </c>
      <c r="E655" s="25">
        <v>9</v>
      </c>
      <c r="F655" s="24">
        <v>46235</v>
      </c>
      <c r="G655" s="23" t="s">
        <v>93</v>
      </c>
      <c r="H655" s="26">
        <v>28</v>
      </c>
      <c r="I655" s="24">
        <f t="shared" si="33"/>
        <v>46263</v>
      </c>
      <c r="J655" s="26">
        <f t="shared" ca="1" si="31"/>
        <v>-41</v>
      </c>
      <c r="K655" s="26">
        <f t="shared" ca="1" si="32"/>
        <v>41</v>
      </c>
      <c r="L655" s="27"/>
      <c r="M655" s="26" t="str">
        <f ca="1">IF(L655&lt;&gt;"","Entregado",IF(NOT(ISNUMBER(IF(Q655&lt;&gt;"",Q655,I655))),"REVISAR TE",IF(AND(ISNUMBER(Resumen!$B$3),IF(Q655&lt;&gt;"",Q655,I655)&lt;Resumen!$B$3),"REVISAR",IF(IF(Q655&lt;&gt;"",Q655,I655)&lt;TODAY(),"ATRASADO",IF(IF(Q655&lt;&gt;"",Q655,I655)-TODAY()&lt;=2,"POR VENCER","EN TIEMPO")))))</f>
        <v>ATRASADO</v>
      </c>
      <c r="N655" s="23" t="s">
        <v>94</v>
      </c>
      <c r="P655" s="23" t="s">
        <v>1249</v>
      </c>
      <c r="Q655" s="28"/>
    </row>
    <row r="656" spans="1:17" ht="16.5" x14ac:dyDescent="0.3">
      <c r="A656" s="23" t="s">
        <v>1247</v>
      </c>
      <c r="B656" s="23" t="s">
        <v>52</v>
      </c>
      <c r="C656" s="23" t="s">
        <v>1252</v>
      </c>
      <c r="D656" s="24">
        <v>46235</v>
      </c>
      <c r="E656" s="25">
        <v>5</v>
      </c>
      <c r="F656" s="24">
        <v>46235</v>
      </c>
      <c r="G656" s="23" t="s">
        <v>93</v>
      </c>
      <c r="H656" s="26">
        <v>28</v>
      </c>
      <c r="I656" s="24">
        <f t="shared" si="33"/>
        <v>46263</v>
      </c>
      <c r="J656" s="26">
        <f t="shared" ca="1" si="31"/>
        <v>-41</v>
      </c>
      <c r="K656" s="26">
        <f t="shared" ca="1" si="32"/>
        <v>41</v>
      </c>
      <c r="L656" s="27"/>
      <c r="M656" s="26" t="str">
        <f ca="1">IF(L656&lt;&gt;"","Entregado",IF(NOT(ISNUMBER(IF(Q656&lt;&gt;"",Q656,I656))),"REVISAR TE",IF(AND(ISNUMBER(Resumen!$B$3),IF(Q656&lt;&gt;"",Q656,I656)&lt;Resumen!$B$3),"REVISAR",IF(IF(Q656&lt;&gt;"",Q656,I656)&lt;TODAY(),"ATRASADO",IF(IF(Q656&lt;&gt;"",Q656,I656)-TODAY()&lt;=2,"POR VENCER","EN TIEMPO")))))</f>
        <v>ATRASADO</v>
      </c>
      <c r="N656" s="23" t="s">
        <v>94</v>
      </c>
      <c r="P656" s="23" t="s">
        <v>1249</v>
      </c>
      <c r="Q656" s="28"/>
    </row>
    <row r="657" spans="1:17" ht="16.5" x14ac:dyDescent="0.3">
      <c r="A657" s="23" t="s">
        <v>1253</v>
      </c>
      <c r="B657" s="23" t="s">
        <v>52</v>
      </c>
      <c r="C657" s="23" t="s">
        <v>1254</v>
      </c>
      <c r="D657" s="24">
        <v>46235</v>
      </c>
      <c r="E657" s="25">
        <v>179</v>
      </c>
      <c r="F657" s="24">
        <v>46235</v>
      </c>
      <c r="G657" s="23" t="s">
        <v>180</v>
      </c>
      <c r="H657" s="26">
        <v>14</v>
      </c>
      <c r="I657" s="24">
        <f t="shared" si="33"/>
        <v>46249</v>
      </c>
      <c r="J657" s="26">
        <f t="shared" ca="1" si="31"/>
        <v>-55</v>
      </c>
      <c r="K657" s="26">
        <f t="shared" ca="1" si="32"/>
        <v>55</v>
      </c>
      <c r="L657" s="27"/>
      <c r="M657" s="26" t="str">
        <f ca="1">IF(L657&lt;&gt;"","Entregado",IF(NOT(ISNUMBER(IF(Q657&lt;&gt;"",Q657,I657))),"REVISAR TE",IF(AND(ISNUMBER(Resumen!$B$3),IF(Q657&lt;&gt;"",Q657,I657)&lt;Resumen!$B$3),"REVISAR",IF(IF(Q657&lt;&gt;"",Q657,I657)&lt;TODAY(),"ATRASADO",IF(IF(Q657&lt;&gt;"",Q657,I657)-TODAY()&lt;=2,"POR VENCER","EN TIEMPO")))))</f>
        <v>ATRASADO</v>
      </c>
      <c r="N657" s="23" t="s">
        <v>89</v>
      </c>
      <c r="P657" s="23" t="s">
        <v>1255</v>
      </c>
      <c r="Q657" s="28"/>
    </row>
    <row r="658" spans="1:17" ht="16.5" x14ac:dyDescent="0.3">
      <c r="A658" s="23" t="s">
        <v>1256</v>
      </c>
      <c r="B658" s="23" t="s">
        <v>52</v>
      </c>
      <c r="C658" s="23" t="s">
        <v>1257</v>
      </c>
      <c r="D658" s="24">
        <v>46235</v>
      </c>
      <c r="E658" s="25">
        <v>10</v>
      </c>
      <c r="F658" s="24">
        <v>46235</v>
      </c>
      <c r="G658" s="23" t="s">
        <v>156</v>
      </c>
      <c r="H658" s="26">
        <v>21</v>
      </c>
      <c r="I658" s="24">
        <f t="shared" si="33"/>
        <v>46256</v>
      </c>
      <c r="J658" s="26">
        <f t="shared" ca="1" si="31"/>
        <v>-48</v>
      </c>
      <c r="K658" s="26">
        <f t="shared" ca="1" si="32"/>
        <v>48</v>
      </c>
      <c r="L658" s="27"/>
      <c r="M658" s="26" t="str">
        <f ca="1">IF(L658&lt;&gt;"","Entregado",IF(NOT(ISNUMBER(IF(Q658&lt;&gt;"",Q658,I658))),"REVISAR TE",IF(AND(ISNUMBER(Resumen!$B$3),IF(Q658&lt;&gt;"",Q658,I658)&lt;Resumen!$B$3),"REVISAR",IF(IF(Q658&lt;&gt;"",Q658,I658)&lt;TODAY(),"ATRASADO",IF(IF(Q658&lt;&gt;"",Q658,I658)-TODAY()&lt;=2,"POR VENCER","EN TIEMPO")))))</f>
        <v>ATRASADO</v>
      </c>
      <c r="N658" s="23" t="s">
        <v>94</v>
      </c>
      <c r="P658" s="23" t="s">
        <v>1258</v>
      </c>
      <c r="Q658" s="28"/>
    </row>
    <row r="659" spans="1:17" ht="16.5" x14ac:dyDescent="0.3">
      <c r="A659" s="23" t="s">
        <v>1256</v>
      </c>
      <c r="B659" s="23" t="s">
        <v>52</v>
      </c>
      <c r="C659" s="23" t="s">
        <v>1259</v>
      </c>
      <c r="D659" s="24">
        <v>46235</v>
      </c>
      <c r="E659" s="25">
        <v>1</v>
      </c>
      <c r="F659" s="24">
        <v>46235</v>
      </c>
      <c r="G659" s="23" t="s">
        <v>156</v>
      </c>
      <c r="H659" s="26">
        <v>21</v>
      </c>
      <c r="I659" s="24">
        <f t="shared" si="33"/>
        <v>46256</v>
      </c>
      <c r="J659" s="26">
        <f t="shared" ca="1" si="31"/>
        <v>-48</v>
      </c>
      <c r="K659" s="26">
        <f t="shared" ca="1" si="32"/>
        <v>48</v>
      </c>
      <c r="L659" s="27"/>
      <c r="M659" s="26" t="str">
        <f ca="1">IF(L659&lt;&gt;"","Entregado",IF(NOT(ISNUMBER(IF(Q659&lt;&gt;"",Q659,I659))),"REVISAR TE",IF(AND(ISNUMBER(Resumen!$B$3),IF(Q659&lt;&gt;"",Q659,I659)&lt;Resumen!$B$3),"REVISAR",IF(IF(Q659&lt;&gt;"",Q659,I659)&lt;TODAY(),"ATRASADO",IF(IF(Q659&lt;&gt;"",Q659,I659)-TODAY()&lt;=2,"POR VENCER","EN TIEMPO")))))</f>
        <v>ATRASADO</v>
      </c>
      <c r="N659" s="23" t="s">
        <v>174</v>
      </c>
      <c r="P659" s="23" t="s">
        <v>1258</v>
      </c>
      <c r="Q659" s="28"/>
    </row>
    <row r="660" spans="1:17" ht="16.5" x14ac:dyDescent="0.3">
      <c r="A660" s="23" t="s">
        <v>1260</v>
      </c>
      <c r="B660" s="23" t="s">
        <v>52</v>
      </c>
      <c r="C660" s="23" t="s">
        <v>1262</v>
      </c>
      <c r="D660" s="24">
        <v>46235</v>
      </c>
      <c r="E660" s="25">
        <v>1</v>
      </c>
      <c r="F660" s="24">
        <v>46235</v>
      </c>
      <c r="G660" s="23" t="s">
        <v>1261</v>
      </c>
      <c r="H660" s="26">
        <v>12</v>
      </c>
      <c r="I660" s="24">
        <f t="shared" si="33"/>
        <v>46247</v>
      </c>
      <c r="J660" s="26">
        <f t="shared" ca="1" si="31"/>
        <v>-57</v>
      </c>
      <c r="K660" s="26">
        <f t="shared" ca="1" si="32"/>
        <v>57</v>
      </c>
      <c r="L660" s="27"/>
      <c r="M660" s="26" t="str">
        <f ca="1">IF(L660&lt;&gt;"","Entregado",IF(NOT(ISNUMBER(IF(Q660&lt;&gt;"",Q660,I660))),"REVISAR TE",IF(AND(ISNUMBER(Resumen!$B$3),IF(Q660&lt;&gt;"",Q660,I660)&lt;Resumen!$B$3),"REVISAR",IF(IF(Q660&lt;&gt;"",Q660,I660)&lt;TODAY(),"ATRASADO",IF(IF(Q660&lt;&gt;"",Q660,I660)-TODAY()&lt;=2,"POR VENCER","EN TIEMPO")))))</f>
        <v>ATRASADO</v>
      </c>
      <c r="N660" s="23" t="s">
        <v>245</v>
      </c>
      <c r="P660" s="23" t="s">
        <v>1263</v>
      </c>
      <c r="Q660" s="28"/>
    </row>
    <row r="661" spans="1:17" ht="16.5" x14ac:dyDescent="0.3">
      <c r="A661" s="23" t="s">
        <v>1264</v>
      </c>
      <c r="B661" s="23" t="s">
        <v>52</v>
      </c>
      <c r="C661" s="23" t="s">
        <v>1265</v>
      </c>
      <c r="D661" s="24">
        <v>46235</v>
      </c>
      <c r="E661" s="25">
        <v>1</v>
      </c>
      <c r="F661" s="24">
        <v>46235</v>
      </c>
      <c r="G661" s="23" t="s">
        <v>1261</v>
      </c>
      <c r="H661" s="26">
        <v>12</v>
      </c>
      <c r="I661" s="24">
        <f t="shared" si="33"/>
        <v>46247</v>
      </c>
      <c r="J661" s="26">
        <f t="shared" ca="1" si="31"/>
        <v>-57</v>
      </c>
      <c r="K661" s="26">
        <f t="shared" ca="1" si="32"/>
        <v>57</v>
      </c>
      <c r="L661" s="27"/>
      <c r="M661" s="26" t="str">
        <f ca="1">IF(L661&lt;&gt;"","Entregado",IF(NOT(ISNUMBER(IF(Q661&lt;&gt;"",Q661,I661))),"REVISAR TE",IF(AND(ISNUMBER(Resumen!$B$3),IF(Q661&lt;&gt;"",Q661,I661)&lt;Resumen!$B$3),"REVISAR",IF(IF(Q661&lt;&gt;"",Q661,I661)&lt;TODAY(),"ATRASADO",IF(IF(Q661&lt;&gt;"",Q661,I661)-TODAY()&lt;=2,"POR VENCER","EN TIEMPO")))))</f>
        <v>ATRASADO</v>
      </c>
      <c r="N661" s="23" t="s">
        <v>245</v>
      </c>
      <c r="P661" s="23" t="s">
        <v>1266</v>
      </c>
      <c r="Q661" s="28"/>
    </row>
    <row r="662" spans="1:17" ht="16.5" x14ac:dyDescent="0.3">
      <c r="A662" s="23" t="s">
        <v>1267</v>
      </c>
      <c r="B662" s="23" t="s">
        <v>52</v>
      </c>
      <c r="C662" s="23" t="s">
        <v>1268</v>
      </c>
      <c r="D662" s="24">
        <v>46235</v>
      </c>
      <c r="E662" s="25">
        <v>1</v>
      </c>
      <c r="F662" s="24">
        <v>46235</v>
      </c>
      <c r="G662" s="23" t="s">
        <v>1261</v>
      </c>
      <c r="H662" s="26">
        <v>12</v>
      </c>
      <c r="I662" s="24">
        <f t="shared" si="33"/>
        <v>46247</v>
      </c>
      <c r="J662" s="26">
        <f t="shared" ca="1" si="31"/>
        <v>-57</v>
      </c>
      <c r="K662" s="26">
        <f t="shared" ca="1" si="32"/>
        <v>57</v>
      </c>
      <c r="L662" s="27"/>
      <c r="M662" s="26" t="str">
        <f ca="1">IF(L662&lt;&gt;"","Entregado",IF(NOT(ISNUMBER(IF(Q662&lt;&gt;"",Q662,I662))),"REVISAR TE",IF(AND(ISNUMBER(Resumen!$B$3),IF(Q662&lt;&gt;"",Q662,I662)&lt;Resumen!$B$3),"REVISAR",IF(IF(Q662&lt;&gt;"",Q662,I662)&lt;TODAY(),"ATRASADO",IF(IF(Q662&lt;&gt;"",Q662,I662)-TODAY()&lt;=2,"POR VENCER","EN TIEMPO")))))</f>
        <v>ATRASADO</v>
      </c>
      <c r="N662" s="23" t="s">
        <v>245</v>
      </c>
      <c r="P662" s="23" t="s">
        <v>1269</v>
      </c>
      <c r="Q662" s="28"/>
    </row>
    <row r="663" spans="1:17" ht="16.5" hidden="1" x14ac:dyDescent="0.3">
      <c r="A663" s="23" t="s">
        <v>1270</v>
      </c>
      <c r="B663" s="23" t="s">
        <v>52</v>
      </c>
      <c r="C663" s="23" t="s">
        <v>1271</v>
      </c>
      <c r="D663" s="24">
        <v>46235</v>
      </c>
      <c r="E663" s="25">
        <v>1</v>
      </c>
      <c r="F663" s="24">
        <v>46235</v>
      </c>
      <c r="G663" s="23" t="s">
        <v>411</v>
      </c>
      <c r="H663" s="26">
        <v>3</v>
      </c>
      <c r="I663" s="24">
        <f t="shared" si="33"/>
        <v>46238</v>
      </c>
      <c r="J663" s="26">
        <f t="shared" ca="1" si="31"/>
        <v>-66</v>
      </c>
      <c r="K663" s="26" t="str">
        <f t="shared" ca="1" si="32"/>
        <v/>
      </c>
      <c r="L663" s="27" t="s">
        <v>1567</v>
      </c>
      <c r="M663" s="26" t="str">
        <f ca="1">IF(L663&lt;&gt;"","Entregado",IF(NOT(ISNUMBER(IF(Q663&lt;&gt;"",Q663,I663))),"REVISAR TE",IF(AND(ISNUMBER(Resumen!$B$3),IF(Q663&lt;&gt;"",Q663,I663)&lt;Resumen!$B$3),"REVISAR",IF(IF(Q663&lt;&gt;"",Q663,I663)&lt;TODAY(),"ATRASADO",IF(IF(Q663&lt;&gt;"",Q663,I663)-TODAY()&lt;=2,"POR VENCER","EN TIEMPO")))))</f>
        <v>Entregado</v>
      </c>
      <c r="N663" s="23" t="s">
        <v>197</v>
      </c>
      <c r="P663" s="23" t="s">
        <v>1272</v>
      </c>
      <c r="Q663" s="28"/>
    </row>
    <row r="664" spans="1:17" ht="16.5" x14ac:dyDescent="0.3">
      <c r="A664" s="23" t="s">
        <v>1273</v>
      </c>
      <c r="B664" s="23" t="s">
        <v>53</v>
      </c>
      <c r="C664" s="23" t="s">
        <v>1274</v>
      </c>
      <c r="D664" s="24">
        <v>46235</v>
      </c>
      <c r="E664" s="25">
        <v>10</v>
      </c>
      <c r="F664" s="24">
        <v>46235</v>
      </c>
      <c r="G664" s="23" t="s">
        <v>137</v>
      </c>
      <c r="H664" s="26">
        <v>28</v>
      </c>
      <c r="I664" s="24">
        <f t="shared" si="33"/>
        <v>46263</v>
      </c>
      <c r="J664" s="26">
        <f t="shared" ca="1" si="31"/>
        <v>-41</v>
      </c>
      <c r="K664" s="26">
        <f t="shared" ca="1" si="32"/>
        <v>41</v>
      </c>
      <c r="L664" s="27"/>
      <c r="M664" s="26" t="str">
        <f ca="1">IF(L664&lt;&gt;"","Entregado",IF(NOT(ISNUMBER(IF(Q664&lt;&gt;"",Q664,I664))),"REVISAR TE",IF(AND(ISNUMBER(Resumen!$B$3),IF(Q664&lt;&gt;"",Q664,I664)&lt;Resumen!$B$3),"REVISAR",IF(IF(Q664&lt;&gt;"",Q664,I664)&lt;TODAY(),"ATRASADO",IF(IF(Q664&lt;&gt;"",Q664,I664)-TODAY()&lt;=2,"POR VENCER","EN TIEMPO")))))</f>
        <v>ATRASADO</v>
      </c>
      <c r="N664" s="23" t="s">
        <v>899</v>
      </c>
      <c r="P664" s="23" t="s">
        <v>1275</v>
      </c>
      <c r="Q664" s="28"/>
    </row>
    <row r="665" spans="1:17" ht="16.5" x14ac:dyDescent="0.3">
      <c r="A665" s="23" t="s">
        <v>1273</v>
      </c>
      <c r="B665" s="23" t="s">
        <v>53</v>
      </c>
      <c r="C665" s="23" t="s">
        <v>1276</v>
      </c>
      <c r="D665" s="24">
        <v>46235</v>
      </c>
      <c r="E665" s="25">
        <v>1</v>
      </c>
      <c r="F665" s="24">
        <v>46235</v>
      </c>
      <c r="G665" s="23" t="s">
        <v>137</v>
      </c>
      <c r="H665" s="26">
        <v>28</v>
      </c>
      <c r="I665" s="24">
        <f t="shared" si="33"/>
        <v>46263</v>
      </c>
      <c r="J665" s="26">
        <f t="shared" ca="1" si="31"/>
        <v>-41</v>
      </c>
      <c r="K665" s="26">
        <f t="shared" ca="1" si="32"/>
        <v>41</v>
      </c>
      <c r="L665" s="27"/>
      <c r="M665" s="26" t="str">
        <f ca="1">IF(L665&lt;&gt;"","Entregado",IF(NOT(ISNUMBER(IF(Q665&lt;&gt;"",Q665,I665))),"REVISAR TE",IF(AND(ISNUMBER(Resumen!$B$3),IF(Q665&lt;&gt;"",Q665,I665)&lt;Resumen!$B$3),"REVISAR",IF(IF(Q665&lt;&gt;"",Q665,I665)&lt;TODAY(),"ATRASADO",IF(IF(Q665&lt;&gt;"",Q665,I665)-TODAY()&lt;=2,"POR VENCER","EN TIEMPO")))))</f>
        <v>ATRASADO</v>
      </c>
      <c r="N665" s="23" t="s">
        <v>920</v>
      </c>
      <c r="P665" s="23" t="s">
        <v>1275</v>
      </c>
      <c r="Q665" s="28"/>
    </row>
    <row r="666" spans="1:17" ht="16.5" x14ac:dyDescent="0.3">
      <c r="A666" s="23" t="s">
        <v>1273</v>
      </c>
      <c r="B666" s="23" t="s">
        <v>53</v>
      </c>
      <c r="C666" s="23" t="s">
        <v>1277</v>
      </c>
      <c r="D666" s="24">
        <v>46235</v>
      </c>
      <c r="E666" s="25">
        <v>1</v>
      </c>
      <c r="F666" s="24">
        <v>46235</v>
      </c>
      <c r="G666" s="23" t="s">
        <v>137</v>
      </c>
      <c r="H666" s="26">
        <v>28</v>
      </c>
      <c r="I666" s="24">
        <f t="shared" si="33"/>
        <v>46263</v>
      </c>
      <c r="J666" s="26">
        <f t="shared" ca="1" si="31"/>
        <v>-41</v>
      </c>
      <c r="K666" s="26">
        <f t="shared" ca="1" si="32"/>
        <v>41</v>
      </c>
      <c r="L666" s="27"/>
      <c r="M666" s="26" t="str">
        <f ca="1">IF(L666&lt;&gt;"","Entregado",IF(NOT(ISNUMBER(IF(Q666&lt;&gt;"",Q666,I666))),"REVISAR TE",IF(AND(ISNUMBER(Resumen!$B$3),IF(Q666&lt;&gt;"",Q666,I666)&lt;Resumen!$B$3),"REVISAR",IF(IF(Q666&lt;&gt;"",Q666,I666)&lt;TODAY(),"ATRASADO",IF(IF(Q666&lt;&gt;"",Q666,I666)-TODAY()&lt;=2,"POR VENCER","EN TIEMPO")))))</f>
        <v>ATRASADO</v>
      </c>
      <c r="N666" s="23" t="s">
        <v>922</v>
      </c>
      <c r="P666" s="23" t="s">
        <v>1275</v>
      </c>
      <c r="Q666" s="28"/>
    </row>
    <row r="667" spans="1:17" ht="16.5" x14ac:dyDescent="0.3">
      <c r="A667" s="23" t="s">
        <v>1273</v>
      </c>
      <c r="B667" s="23" t="s">
        <v>53</v>
      </c>
      <c r="C667" s="23" t="s">
        <v>1278</v>
      </c>
      <c r="D667" s="24">
        <v>46235</v>
      </c>
      <c r="E667" s="25">
        <v>1</v>
      </c>
      <c r="F667" s="24">
        <v>46235</v>
      </c>
      <c r="G667" s="23" t="s">
        <v>137</v>
      </c>
      <c r="H667" s="26">
        <v>28</v>
      </c>
      <c r="I667" s="24">
        <f t="shared" si="33"/>
        <v>46263</v>
      </c>
      <c r="J667" s="26">
        <f t="shared" ca="1" si="31"/>
        <v>-41</v>
      </c>
      <c r="K667" s="26">
        <f t="shared" ca="1" si="32"/>
        <v>41</v>
      </c>
      <c r="L667" s="27"/>
      <c r="M667" s="26" t="str">
        <f ca="1">IF(L667&lt;&gt;"","Entregado",IF(NOT(ISNUMBER(IF(Q667&lt;&gt;"",Q667,I667))),"REVISAR TE",IF(AND(ISNUMBER(Resumen!$B$3),IF(Q667&lt;&gt;"",Q667,I667)&lt;Resumen!$B$3),"REVISAR",IF(IF(Q667&lt;&gt;"",Q667,I667)&lt;TODAY(),"ATRASADO",IF(IF(Q667&lt;&gt;"",Q667,I667)-TODAY()&lt;=2,"POR VENCER","EN TIEMPO")))))</f>
        <v>ATRASADO</v>
      </c>
      <c r="N667" s="23" t="s">
        <v>925</v>
      </c>
      <c r="P667" s="23" t="s">
        <v>1275</v>
      </c>
      <c r="Q667" s="28"/>
    </row>
    <row r="668" spans="1:17" ht="16.5" x14ac:dyDescent="0.3">
      <c r="A668" s="23" t="s">
        <v>1273</v>
      </c>
      <c r="B668" s="23" t="s">
        <v>53</v>
      </c>
      <c r="C668" s="23" t="s">
        <v>1279</v>
      </c>
      <c r="D668" s="24">
        <v>46235</v>
      </c>
      <c r="E668" s="25">
        <v>10</v>
      </c>
      <c r="F668" s="24">
        <v>46235</v>
      </c>
      <c r="G668" s="23" t="s">
        <v>137</v>
      </c>
      <c r="H668" s="26">
        <v>28</v>
      </c>
      <c r="I668" s="24">
        <f t="shared" si="33"/>
        <v>46263</v>
      </c>
      <c r="J668" s="26">
        <f t="shared" ca="1" si="31"/>
        <v>-41</v>
      </c>
      <c r="K668" s="26">
        <f t="shared" ca="1" si="32"/>
        <v>41</v>
      </c>
      <c r="L668" s="27"/>
      <c r="M668" s="26" t="str">
        <f ca="1">IF(L668&lt;&gt;"","Entregado",IF(NOT(ISNUMBER(IF(Q668&lt;&gt;"",Q668,I668))),"REVISAR TE",IF(AND(ISNUMBER(Resumen!$B$3),IF(Q668&lt;&gt;"",Q668,I668)&lt;Resumen!$B$3),"REVISAR",IF(IF(Q668&lt;&gt;"",Q668,I668)&lt;TODAY(),"ATRASADO",IF(IF(Q668&lt;&gt;"",Q668,I668)-TODAY()&lt;=2,"POR VENCER","EN TIEMPO")))))</f>
        <v>ATRASADO</v>
      </c>
      <c r="N668" s="23" t="s">
        <v>902</v>
      </c>
      <c r="P668" s="23" t="s">
        <v>1275</v>
      </c>
      <c r="Q668" s="28"/>
    </row>
    <row r="669" spans="1:17" ht="16.5" x14ac:dyDescent="0.3">
      <c r="A669" s="23" t="s">
        <v>1273</v>
      </c>
      <c r="B669" s="23" t="s">
        <v>53</v>
      </c>
      <c r="C669" s="23" t="s">
        <v>1280</v>
      </c>
      <c r="D669" s="24">
        <v>46235</v>
      </c>
      <c r="E669" s="25">
        <v>1</v>
      </c>
      <c r="F669" s="24">
        <v>46235</v>
      </c>
      <c r="G669" s="23" t="s">
        <v>137</v>
      </c>
      <c r="H669" s="26">
        <v>28</v>
      </c>
      <c r="I669" s="24">
        <f t="shared" si="33"/>
        <v>46263</v>
      </c>
      <c r="J669" s="26">
        <f t="shared" ca="1" si="31"/>
        <v>-41</v>
      </c>
      <c r="K669" s="26">
        <f t="shared" ca="1" si="32"/>
        <v>41</v>
      </c>
      <c r="L669" s="27"/>
      <c r="M669" s="26" t="str">
        <f ca="1">IF(L669&lt;&gt;"","Entregado",IF(NOT(ISNUMBER(IF(Q669&lt;&gt;"",Q669,I669))),"REVISAR TE",IF(AND(ISNUMBER(Resumen!$B$3),IF(Q669&lt;&gt;"",Q669,I669)&lt;Resumen!$B$3),"REVISAR",IF(IF(Q669&lt;&gt;"",Q669,I669)&lt;TODAY(),"ATRASADO",IF(IF(Q669&lt;&gt;"",Q669,I669)-TODAY()&lt;=2,"POR VENCER","EN TIEMPO")))))</f>
        <v>ATRASADO</v>
      </c>
      <c r="N669" s="23" t="s">
        <v>927</v>
      </c>
      <c r="P669" s="23" t="s">
        <v>1275</v>
      </c>
      <c r="Q669" s="28"/>
    </row>
    <row r="670" spans="1:17" ht="16.5" x14ac:dyDescent="0.3">
      <c r="A670" s="23" t="s">
        <v>1273</v>
      </c>
      <c r="B670" s="23" t="s">
        <v>53</v>
      </c>
      <c r="C670" s="23" t="s">
        <v>1281</v>
      </c>
      <c r="D670" s="24">
        <v>46235</v>
      </c>
      <c r="E670" s="25">
        <v>1</v>
      </c>
      <c r="F670" s="24">
        <v>46235</v>
      </c>
      <c r="G670" s="23" t="s">
        <v>137</v>
      </c>
      <c r="H670" s="26">
        <v>28</v>
      </c>
      <c r="I670" s="24">
        <f t="shared" si="33"/>
        <v>46263</v>
      </c>
      <c r="J670" s="26">
        <f t="shared" ca="1" si="31"/>
        <v>-41</v>
      </c>
      <c r="K670" s="26">
        <f t="shared" ca="1" si="32"/>
        <v>41</v>
      </c>
      <c r="L670" s="27"/>
      <c r="M670" s="26" t="str">
        <f ca="1">IF(L670&lt;&gt;"","Entregado",IF(NOT(ISNUMBER(IF(Q670&lt;&gt;"",Q670,I670))),"REVISAR TE",IF(AND(ISNUMBER(Resumen!$B$3),IF(Q670&lt;&gt;"",Q670,I670)&lt;Resumen!$B$3),"REVISAR",IF(IF(Q670&lt;&gt;"",Q670,I670)&lt;TODAY(),"ATRASADO",IF(IF(Q670&lt;&gt;"",Q670,I670)-TODAY()&lt;=2,"POR VENCER","EN TIEMPO")))))</f>
        <v>ATRASADO</v>
      </c>
      <c r="N670" s="23" t="s">
        <v>929</v>
      </c>
      <c r="P670" s="23" t="s">
        <v>1275</v>
      </c>
      <c r="Q670" s="28"/>
    </row>
    <row r="671" spans="1:17" ht="16.5" x14ac:dyDescent="0.3">
      <c r="A671" s="23" t="s">
        <v>1273</v>
      </c>
      <c r="B671" s="23" t="s">
        <v>53</v>
      </c>
      <c r="C671" s="23" t="s">
        <v>1282</v>
      </c>
      <c r="D671" s="24">
        <v>46235</v>
      </c>
      <c r="E671" s="25">
        <v>1</v>
      </c>
      <c r="F671" s="24">
        <v>46235</v>
      </c>
      <c r="G671" s="23" t="s">
        <v>137</v>
      </c>
      <c r="H671" s="26">
        <v>28</v>
      </c>
      <c r="I671" s="24">
        <f t="shared" si="33"/>
        <v>46263</v>
      </c>
      <c r="J671" s="26">
        <f t="shared" ca="1" si="31"/>
        <v>-41</v>
      </c>
      <c r="K671" s="26">
        <f t="shared" ca="1" si="32"/>
        <v>41</v>
      </c>
      <c r="L671" s="27"/>
      <c r="M671" s="26" t="str">
        <f ca="1">IF(L671&lt;&gt;"","Entregado",IF(NOT(ISNUMBER(IF(Q671&lt;&gt;"",Q671,I671))),"REVISAR TE",IF(AND(ISNUMBER(Resumen!$B$3),IF(Q671&lt;&gt;"",Q671,I671)&lt;Resumen!$B$3),"REVISAR",IF(IF(Q671&lt;&gt;"",Q671,I671)&lt;TODAY(),"ATRASADO",IF(IF(Q671&lt;&gt;"",Q671,I671)-TODAY()&lt;=2,"POR VENCER","EN TIEMPO")))))</f>
        <v>ATRASADO</v>
      </c>
      <c r="N671" s="23" t="s">
        <v>1077</v>
      </c>
      <c r="P671" s="23" t="s">
        <v>1275</v>
      </c>
      <c r="Q671" s="28"/>
    </row>
    <row r="672" spans="1:17" ht="16.5" x14ac:dyDescent="0.3">
      <c r="A672" s="23" t="s">
        <v>1283</v>
      </c>
      <c r="B672" s="23" t="s">
        <v>58</v>
      </c>
      <c r="C672" s="23" t="s">
        <v>1285</v>
      </c>
      <c r="D672" s="24">
        <v>46238</v>
      </c>
      <c r="E672" s="25">
        <v>1</v>
      </c>
      <c r="F672" s="24">
        <v>46238</v>
      </c>
      <c r="G672" s="23" t="s">
        <v>196</v>
      </c>
      <c r="H672" s="26">
        <v>10</v>
      </c>
      <c r="I672" s="24">
        <f t="shared" si="33"/>
        <v>46248</v>
      </c>
      <c r="J672" s="26">
        <f t="shared" ca="1" si="31"/>
        <v>-56</v>
      </c>
      <c r="K672" s="26">
        <f t="shared" ca="1" si="32"/>
        <v>56</v>
      </c>
      <c r="L672" s="27"/>
      <c r="M672" s="26" t="str">
        <f ca="1">IF(L672&lt;&gt;"","Entregado",IF(NOT(ISNUMBER(IF(Q672&lt;&gt;"",Q672,I672))),"REVISAR TE",IF(AND(ISNUMBER(Resumen!$B$3),IF(Q672&lt;&gt;"",Q672,I672)&lt;Resumen!$B$3),"REVISAR",IF(IF(Q672&lt;&gt;"",Q672,I672)&lt;TODAY(),"ATRASADO",IF(IF(Q672&lt;&gt;"",Q672,I672)-TODAY()&lt;=2,"POR VENCER","EN TIEMPO")))))</f>
        <v>ATRASADO</v>
      </c>
      <c r="N672" s="23" t="s">
        <v>1284</v>
      </c>
      <c r="P672" s="23" t="s">
        <v>1286</v>
      </c>
      <c r="Q672" s="28"/>
    </row>
    <row r="673" spans="1:17" ht="16.5" x14ac:dyDescent="0.3">
      <c r="A673" s="23" t="s">
        <v>1287</v>
      </c>
      <c r="B673" s="23" t="s">
        <v>52</v>
      </c>
      <c r="C673" s="23" t="s">
        <v>1288</v>
      </c>
      <c r="D673" s="24">
        <v>46241</v>
      </c>
      <c r="E673" s="25">
        <v>1</v>
      </c>
      <c r="F673" s="24">
        <v>46241</v>
      </c>
      <c r="G673" s="23" t="s">
        <v>196</v>
      </c>
      <c r="H673" s="26">
        <v>10</v>
      </c>
      <c r="I673" s="24">
        <f t="shared" si="33"/>
        <v>46251</v>
      </c>
      <c r="J673" s="26">
        <f t="shared" ca="1" si="31"/>
        <v>-53</v>
      </c>
      <c r="K673" s="26">
        <f t="shared" ca="1" si="32"/>
        <v>53</v>
      </c>
      <c r="L673" s="27"/>
      <c r="M673" s="26" t="str">
        <f ca="1">IF(L673&lt;&gt;"","Entregado",IF(NOT(ISNUMBER(IF(Q673&lt;&gt;"",Q673,I673))),"REVISAR TE",IF(AND(ISNUMBER(Resumen!$B$3),IF(Q673&lt;&gt;"",Q673,I673)&lt;Resumen!$B$3),"REVISAR",IF(IF(Q673&lt;&gt;"",Q673,I673)&lt;TODAY(),"ATRASADO",IF(IF(Q673&lt;&gt;"",Q673,I673)-TODAY()&lt;=2,"POR VENCER","EN TIEMPO")))))</f>
        <v>ATRASADO</v>
      </c>
      <c r="N673" s="23" t="s">
        <v>508</v>
      </c>
      <c r="P673" s="23" t="s">
        <v>1289</v>
      </c>
      <c r="Q673" s="28"/>
    </row>
    <row r="674" spans="1:17" ht="16.5" x14ac:dyDescent="0.3">
      <c r="A674" s="23" t="s">
        <v>1287</v>
      </c>
      <c r="B674" s="23" t="s">
        <v>52</v>
      </c>
      <c r="C674" s="23" t="s">
        <v>1290</v>
      </c>
      <c r="D674" s="24">
        <v>46241</v>
      </c>
      <c r="E674" s="25">
        <v>1</v>
      </c>
      <c r="F674" s="24">
        <v>46241</v>
      </c>
      <c r="G674" s="23" t="s">
        <v>196</v>
      </c>
      <c r="H674" s="26">
        <v>10</v>
      </c>
      <c r="I674" s="24">
        <f t="shared" si="33"/>
        <v>46251</v>
      </c>
      <c r="J674" s="26">
        <f t="shared" ca="1" si="31"/>
        <v>-53</v>
      </c>
      <c r="K674" s="26">
        <f t="shared" ca="1" si="32"/>
        <v>53</v>
      </c>
      <c r="L674" s="27"/>
      <c r="M674" s="26" t="str">
        <f ca="1">IF(L674&lt;&gt;"","Entregado",IF(NOT(ISNUMBER(IF(Q674&lt;&gt;"",Q674,I674))),"REVISAR TE",IF(AND(ISNUMBER(Resumen!$B$3),IF(Q674&lt;&gt;"",Q674,I674)&lt;Resumen!$B$3),"REVISAR",IF(IF(Q674&lt;&gt;"",Q674,I674)&lt;TODAY(),"ATRASADO",IF(IF(Q674&lt;&gt;"",Q674,I674)-TODAY()&lt;=2,"POR VENCER","EN TIEMPO")))))</f>
        <v>ATRASADO</v>
      </c>
      <c r="N674" s="23" t="s">
        <v>508</v>
      </c>
      <c r="P674" s="23" t="s">
        <v>1289</v>
      </c>
      <c r="Q674" s="28"/>
    </row>
    <row r="675" spans="1:17" ht="16.5" x14ac:dyDescent="0.3">
      <c r="A675" s="23" t="s">
        <v>1291</v>
      </c>
      <c r="B675" s="23" t="s">
        <v>52</v>
      </c>
      <c r="C675" s="23" t="s">
        <v>1292</v>
      </c>
      <c r="D675" s="24">
        <v>46241</v>
      </c>
      <c r="E675" s="25">
        <v>1</v>
      </c>
      <c r="F675" s="24">
        <v>46241</v>
      </c>
      <c r="G675" s="23" t="s">
        <v>196</v>
      </c>
      <c r="H675" s="26">
        <v>10</v>
      </c>
      <c r="I675" s="24">
        <f t="shared" si="33"/>
        <v>46251</v>
      </c>
      <c r="J675" s="26">
        <f t="shared" ca="1" si="31"/>
        <v>-53</v>
      </c>
      <c r="K675" s="26">
        <f t="shared" ca="1" si="32"/>
        <v>53</v>
      </c>
      <c r="L675" s="27"/>
      <c r="M675" s="26" t="str">
        <f ca="1">IF(L675&lt;&gt;"","Entregado",IF(NOT(ISNUMBER(IF(Q675&lt;&gt;"",Q675,I675))),"REVISAR TE",IF(AND(ISNUMBER(Resumen!$B$3),IF(Q675&lt;&gt;"",Q675,I675)&lt;Resumen!$B$3),"REVISAR",IF(IF(Q675&lt;&gt;"",Q675,I675)&lt;TODAY(),"ATRASADO",IF(IF(Q675&lt;&gt;"",Q675,I675)-TODAY()&lt;=2,"POR VENCER","EN TIEMPO")))))</f>
        <v>ATRASADO</v>
      </c>
      <c r="N675" s="23" t="s">
        <v>388</v>
      </c>
      <c r="P675" s="23" t="s">
        <v>1293</v>
      </c>
      <c r="Q675" s="28"/>
    </row>
    <row r="676" spans="1:17" ht="16.5" x14ac:dyDescent="0.3">
      <c r="A676" s="23" t="s">
        <v>1294</v>
      </c>
      <c r="B676" s="23" t="s">
        <v>52</v>
      </c>
      <c r="C676" s="23" t="s">
        <v>1295</v>
      </c>
      <c r="D676" s="24">
        <v>46241</v>
      </c>
      <c r="E676" s="25">
        <v>1</v>
      </c>
      <c r="F676" s="24">
        <v>46241</v>
      </c>
      <c r="G676" s="23" t="s">
        <v>196</v>
      </c>
      <c r="H676" s="26">
        <v>10</v>
      </c>
      <c r="I676" s="24">
        <f t="shared" si="33"/>
        <v>46251</v>
      </c>
      <c r="J676" s="26">
        <f t="shared" ca="1" si="31"/>
        <v>-53</v>
      </c>
      <c r="K676" s="26">
        <f t="shared" ca="1" si="32"/>
        <v>53</v>
      </c>
      <c r="L676" s="27"/>
      <c r="M676" s="26" t="str">
        <f ca="1">IF(L676&lt;&gt;"","Entregado",IF(NOT(ISNUMBER(IF(Q676&lt;&gt;"",Q676,I676))),"REVISAR TE",IF(AND(ISNUMBER(Resumen!$B$3),IF(Q676&lt;&gt;"",Q676,I676)&lt;Resumen!$B$3),"REVISAR",IF(IF(Q676&lt;&gt;"",Q676,I676)&lt;TODAY(),"ATRASADO",IF(IF(Q676&lt;&gt;"",Q676,I676)-TODAY()&lt;=2,"POR VENCER","EN TIEMPO")))))</f>
        <v>ATRASADO</v>
      </c>
      <c r="N676" s="23" t="s">
        <v>672</v>
      </c>
      <c r="P676" s="23" t="s">
        <v>1296</v>
      </c>
      <c r="Q676" s="28"/>
    </row>
    <row r="677" spans="1:17" ht="16.5" x14ac:dyDescent="0.3">
      <c r="A677" s="23" t="s">
        <v>1297</v>
      </c>
      <c r="B677" s="23" t="s">
        <v>52</v>
      </c>
      <c r="C677" s="23" t="s">
        <v>1298</v>
      </c>
      <c r="D677" s="24">
        <v>46241</v>
      </c>
      <c r="E677" s="25">
        <v>5</v>
      </c>
      <c r="F677" s="24">
        <v>46241</v>
      </c>
      <c r="G677" s="23" t="s">
        <v>658</v>
      </c>
      <c r="H677" s="26">
        <v>2</v>
      </c>
      <c r="I677" s="24">
        <f t="shared" si="33"/>
        <v>46243</v>
      </c>
      <c r="J677" s="26">
        <f t="shared" ca="1" si="31"/>
        <v>-61</v>
      </c>
      <c r="K677" s="26">
        <f t="shared" ca="1" si="32"/>
        <v>61</v>
      </c>
      <c r="L677" s="27"/>
      <c r="M677" s="26" t="str">
        <f ca="1">IF(L677&lt;&gt;"","Entregado",IF(NOT(ISNUMBER(IF(Q677&lt;&gt;"",Q677,I677))),"REVISAR TE",IF(AND(ISNUMBER(Resumen!$B$3),IF(Q677&lt;&gt;"",Q677,I677)&lt;Resumen!$B$3),"REVISAR",IF(IF(Q677&lt;&gt;"",Q677,I677)&lt;TODAY(),"ATRASADO",IF(IF(Q677&lt;&gt;"",Q677,I677)-TODAY()&lt;=2,"POR VENCER","EN TIEMPO")))))</f>
        <v>ATRASADO</v>
      </c>
      <c r="N677" s="23" t="s">
        <v>388</v>
      </c>
      <c r="P677" s="23" t="s">
        <v>1299</v>
      </c>
      <c r="Q677" s="28"/>
    </row>
    <row r="678" spans="1:17" ht="16.5" x14ac:dyDescent="0.3">
      <c r="A678" s="23" t="s">
        <v>1297</v>
      </c>
      <c r="B678" s="23" t="s">
        <v>52</v>
      </c>
      <c r="C678" s="23" t="s">
        <v>1300</v>
      </c>
      <c r="D678" s="24">
        <v>46241</v>
      </c>
      <c r="E678" s="25">
        <v>5</v>
      </c>
      <c r="F678" s="24">
        <v>46241</v>
      </c>
      <c r="G678" s="23" t="s">
        <v>658</v>
      </c>
      <c r="H678" s="26">
        <v>2</v>
      </c>
      <c r="I678" s="24">
        <f t="shared" si="33"/>
        <v>46243</v>
      </c>
      <c r="J678" s="26">
        <f t="shared" ca="1" si="31"/>
        <v>-61</v>
      </c>
      <c r="K678" s="26">
        <f t="shared" ca="1" si="32"/>
        <v>61</v>
      </c>
      <c r="L678" s="27"/>
      <c r="M678" s="26" t="str">
        <f ca="1">IF(L678&lt;&gt;"","Entregado",IF(NOT(ISNUMBER(IF(Q678&lt;&gt;"",Q678,I678))),"REVISAR TE",IF(AND(ISNUMBER(Resumen!$B$3),IF(Q678&lt;&gt;"",Q678,I678)&lt;Resumen!$B$3),"REVISAR",IF(IF(Q678&lt;&gt;"",Q678,I678)&lt;TODAY(),"ATRASADO",IF(IF(Q678&lt;&gt;"",Q678,I678)-TODAY()&lt;=2,"POR VENCER","EN TIEMPO")))))</f>
        <v>ATRASADO</v>
      </c>
      <c r="N678" s="23" t="s">
        <v>388</v>
      </c>
      <c r="P678" s="23" t="s">
        <v>1299</v>
      </c>
      <c r="Q678" s="28"/>
    </row>
    <row r="679" spans="1:17" ht="16.5" x14ac:dyDescent="0.3">
      <c r="A679" s="23" t="s">
        <v>1301</v>
      </c>
      <c r="B679" s="23"/>
      <c r="C679" s="23" t="s">
        <v>1302</v>
      </c>
      <c r="D679" s="24">
        <v>46244</v>
      </c>
      <c r="E679" s="25">
        <v>1</v>
      </c>
      <c r="F679" s="24">
        <v>46244</v>
      </c>
      <c r="G679" s="23" t="s">
        <v>83</v>
      </c>
      <c r="H679" s="26">
        <v>21</v>
      </c>
      <c r="I679" s="24">
        <f t="shared" si="33"/>
        <v>46265</v>
      </c>
      <c r="J679" s="26">
        <f t="shared" ca="1" si="31"/>
        <v>-39</v>
      </c>
      <c r="K679" s="26">
        <f t="shared" ca="1" si="32"/>
        <v>39</v>
      </c>
      <c r="L679" s="27"/>
      <c r="M679" s="26" t="str">
        <f ca="1">IF(L679&lt;&gt;"","Entregado",IF(NOT(ISNUMBER(IF(Q679&lt;&gt;"",Q679,I679))),"REVISAR TE",IF(AND(ISNUMBER(Resumen!$B$3),IF(Q679&lt;&gt;"",Q679,I679)&lt;Resumen!$B$3),"REVISAR",IF(IF(Q679&lt;&gt;"",Q679,I679)&lt;TODAY(),"ATRASADO",IF(IF(Q679&lt;&gt;"",Q679,I679)-TODAY()&lt;=2,"POR VENCER","EN TIEMPO")))))</f>
        <v>ATRASADO</v>
      </c>
      <c r="N679" s="23" t="s">
        <v>245</v>
      </c>
      <c r="P679" s="23" t="s">
        <v>1303</v>
      </c>
      <c r="Q679" s="28"/>
    </row>
    <row r="680" spans="1:17" ht="16.5" x14ac:dyDescent="0.3">
      <c r="A680" s="23" t="s">
        <v>1304</v>
      </c>
      <c r="B680" s="23" t="s">
        <v>52</v>
      </c>
      <c r="C680" s="23" t="s">
        <v>1305</v>
      </c>
      <c r="D680" s="24">
        <v>46245</v>
      </c>
      <c r="E680" s="25">
        <v>4</v>
      </c>
      <c r="F680" s="24">
        <v>46245</v>
      </c>
      <c r="G680" s="23" t="s">
        <v>747</v>
      </c>
      <c r="H680" s="26">
        <v>1</v>
      </c>
      <c r="I680" s="24">
        <f t="shared" si="33"/>
        <v>46246</v>
      </c>
      <c r="J680" s="26">
        <f t="shared" ca="1" si="31"/>
        <v>-58</v>
      </c>
      <c r="K680" s="26">
        <f t="shared" ca="1" si="32"/>
        <v>58</v>
      </c>
      <c r="L680" s="27"/>
      <c r="M680" s="26" t="str">
        <f ca="1">IF(L680&lt;&gt;"","Entregado",IF(NOT(ISNUMBER(IF(Q680&lt;&gt;"",Q680,I680))),"REVISAR TE",IF(AND(ISNUMBER(Resumen!$B$3),IF(Q680&lt;&gt;"",Q680,I680)&lt;Resumen!$B$3),"REVISAR",IF(IF(Q680&lt;&gt;"",Q680,I680)&lt;TODAY(),"ATRASADO",IF(IF(Q680&lt;&gt;"",Q680,I680)-TODAY()&lt;=2,"POR VENCER","EN TIEMPO")))))</f>
        <v>ATRASADO</v>
      </c>
      <c r="N680" s="23" t="s">
        <v>388</v>
      </c>
      <c r="P680" s="23" t="s">
        <v>1306</v>
      </c>
      <c r="Q680" s="28"/>
    </row>
    <row r="681" spans="1:17" ht="16.5" x14ac:dyDescent="0.3">
      <c r="A681" s="23" t="s">
        <v>1307</v>
      </c>
      <c r="B681" s="23"/>
      <c r="C681" s="23" t="s">
        <v>1308</v>
      </c>
      <c r="D681" s="24">
        <v>46246</v>
      </c>
      <c r="E681" s="25">
        <v>23</v>
      </c>
      <c r="F681" s="24">
        <v>46246</v>
      </c>
      <c r="G681" s="23" t="s">
        <v>93</v>
      </c>
      <c r="H681" s="26">
        <v>28</v>
      </c>
      <c r="I681" s="24">
        <f t="shared" si="33"/>
        <v>46274</v>
      </c>
      <c r="J681" s="26">
        <f t="shared" ca="1" si="31"/>
        <v>-30</v>
      </c>
      <c r="K681" s="26">
        <f t="shared" ca="1" si="32"/>
        <v>30</v>
      </c>
      <c r="L681" s="27"/>
      <c r="M681" s="26" t="str">
        <f ca="1">IF(L681&lt;&gt;"","Entregado",IF(NOT(ISNUMBER(IF(Q681&lt;&gt;"",Q681,I681))),"REVISAR TE",IF(AND(ISNUMBER(Resumen!$B$3),IF(Q681&lt;&gt;"",Q681,I681)&lt;Resumen!$B$3),"REVISAR",IF(IF(Q681&lt;&gt;"",Q681,I681)&lt;TODAY(),"ATRASADO",IF(IF(Q681&lt;&gt;"",Q681,I681)-TODAY()&lt;=2,"POR VENCER","EN TIEMPO")))))</f>
        <v>ATRASADO</v>
      </c>
      <c r="N681" s="23" t="s">
        <v>98</v>
      </c>
      <c r="P681" s="23" t="s">
        <v>1309</v>
      </c>
      <c r="Q681" s="28"/>
    </row>
    <row r="682" spans="1:17" ht="16.5" x14ac:dyDescent="0.3">
      <c r="A682" s="23" t="s">
        <v>1307</v>
      </c>
      <c r="B682" s="23"/>
      <c r="C682" s="23" t="s">
        <v>1310</v>
      </c>
      <c r="D682" s="24">
        <v>46246</v>
      </c>
      <c r="E682" s="25">
        <v>23</v>
      </c>
      <c r="F682" s="24">
        <v>46246</v>
      </c>
      <c r="G682" s="23" t="s">
        <v>93</v>
      </c>
      <c r="H682" s="26">
        <v>28</v>
      </c>
      <c r="I682" s="24">
        <f t="shared" si="33"/>
        <v>46274</v>
      </c>
      <c r="J682" s="26">
        <f t="shared" ca="1" si="31"/>
        <v>-30</v>
      </c>
      <c r="K682" s="26">
        <f t="shared" ca="1" si="32"/>
        <v>30</v>
      </c>
      <c r="L682" s="27"/>
      <c r="M682" s="26" t="str">
        <f ca="1">IF(L682&lt;&gt;"","Entregado",IF(NOT(ISNUMBER(IF(Q682&lt;&gt;"",Q682,I682))),"REVISAR TE",IF(AND(ISNUMBER(Resumen!$B$3),IF(Q682&lt;&gt;"",Q682,I682)&lt;Resumen!$B$3),"REVISAR",IF(IF(Q682&lt;&gt;"",Q682,I682)&lt;TODAY(),"ATRASADO",IF(IF(Q682&lt;&gt;"",Q682,I682)-TODAY()&lt;=2,"POR VENCER","EN TIEMPO")))))</f>
        <v>ATRASADO</v>
      </c>
      <c r="N682" s="23" t="s">
        <v>98</v>
      </c>
      <c r="P682" s="23" t="s">
        <v>1309</v>
      </c>
      <c r="Q682" s="28"/>
    </row>
    <row r="683" spans="1:17" ht="16.5" x14ac:dyDescent="0.3">
      <c r="A683" s="23" t="s">
        <v>1307</v>
      </c>
      <c r="B683" s="23"/>
      <c r="C683" s="23" t="s">
        <v>1311</v>
      </c>
      <c r="D683" s="24">
        <v>46246</v>
      </c>
      <c r="E683" s="25">
        <v>23</v>
      </c>
      <c r="F683" s="24">
        <v>46246</v>
      </c>
      <c r="G683" s="23" t="s">
        <v>93</v>
      </c>
      <c r="H683" s="26">
        <v>28</v>
      </c>
      <c r="I683" s="24">
        <f t="shared" si="33"/>
        <v>46274</v>
      </c>
      <c r="J683" s="26">
        <f t="shared" ca="1" si="31"/>
        <v>-30</v>
      </c>
      <c r="K683" s="26">
        <f t="shared" ca="1" si="32"/>
        <v>30</v>
      </c>
      <c r="L683" s="27"/>
      <c r="M683" s="26" t="str">
        <f ca="1">IF(L683&lt;&gt;"","Entregado",IF(NOT(ISNUMBER(IF(Q683&lt;&gt;"",Q683,I683))),"REVISAR TE",IF(AND(ISNUMBER(Resumen!$B$3),IF(Q683&lt;&gt;"",Q683,I683)&lt;Resumen!$B$3),"REVISAR",IF(IF(Q683&lt;&gt;"",Q683,I683)&lt;TODAY(),"ATRASADO",IF(IF(Q683&lt;&gt;"",Q683,I683)-TODAY()&lt;=2,"POR VENCER","EN TIEMPO")))))</f>
        <v>ATRASADO</v>
      </c>
      <c r="N683" s="23" t="s">
        <v>98</v>
      </c>
      <c r="P683" s="23" t="s">
        <v>1309</v>
      </c>
      <c r="Q683" s="28"/>
    </row>
    <row r="684" spans="1:17" ht="16.5" x14ac:dyDescent="0.3">
      <c r="A684" s="23" t="s">
        <v>1307</v>
      </c>
      <c r="B684" s="23"/>
      <c r="C684" s="23" t="s">
        <v>1312</v>
      </c>
      <c r="D684" s="24">
        <v>46246</v>
      </c>
      <c r="E684" s="25">
        <v>23</v>
      </c>
      <c r="F684" s="24">
        <v>46246</v>
      </c>
      <c r="G684" s="23" t="s">
        <v>93</v>
      </c>
      <c r="H684" s="26">
        <v>28</v>
      </c>
      <c r="I684" s="24">
        <f t="shared" si="33"/>
        <v>46274</v>
      </c>
      <c r="J684" s="26">
        <f t="shared" ca="1" si="31"/>
        <v>-30</v>
      </c>
      <c r="K684" s="26">
        <f t="shared" ca="1" si="32"/>
        <v>30</v>
      </c>
      <c r="L684" s="27"/>
      <c r="M684" s="26" t="str">
        <f ca="1">IF(L684&lt;&gt;"","Entregado",IF(NOT(ISNUMBER(IF(Q684&lt;&gt;"",Q684,I684))),"REVISAR TE",IF(AND(ISNUMBER(Resumen!$B$3),IF(Q684&lt;&gt;"",Q684,I684)&lt;Resumen!$B$3),"REVISAR",IF(IF(Q684&lt;&gt;"",Q684,I684)&lt;TODAY(),"ATRASADO",IF(IF(Q684&lt;&gt;"",Q684,I684)-TODAY()&lt;=2,"POR VENCER","EN TIEMPO")))))</f>
        <v>ATRASADO</v>
      </c>
      <c r="N684" s="23" t="s">
        <v>98</v>
      </c>
      <c r="P684" s="23" t="s">
        <v>1309</v>
      </c>
      <c r="Q684" s="28"/>
    </row>
    <row r="685" spans="1:17" ht="16.5" x14ac:dyDescent="0.3">
      <c r="A685" s="23" t="s">
        <v>1307</v>
      </c>
      <c r="B685" s="23"/>
      <c r="C685" s="23" t="s">
        <v>1313</v>
      </c>
      <c r="D685" s="24">
        <v>46246</v>
      </c>
      <c r="E685" s="25">
        <v>1</v>
      </c>
      <c r="F685" s="24">
        <v>46246</v>
      </c>
      <c r="G685" s="23" t="s">
        <v>93</v>
      </c>
      <c r="H685" s="26">
        <v>28</v>
      </c>
      <c r="I685" s="24">
        <f t="shared" si="33"/>
        <v>46274</v>
      </c>
      <c r="J685" s="26">
        <f t="shared" ca="1" si="31"/>
        <v>-30</v>
      </c>
      <c r="K685" s="26">
        <f t="shared" ca="1" si="32"/>
        <v>30</v>
      </c>
      <c r="L685" s="27"/>
      <c r="M685" s="26" t="str">
        <f ca="1">IF(L685&lt;&gt;"","Entregado",IF(NOT(ISNUMBER(IF(Q685&lt;&gt;"",Q685,I685))),"REVISAR TE",IF(AND(ISNUMBER(Resumen!$B$3),IF(Q685&lt;&gt;"",Q685,I685)&lt;Resumen!$B$3),"REVISAR",IF(IF(Q685&lt;&gt;"",Q685,I685)&lt;TODAY(),"ATRASADO",IF(IF(Q685&lt;&gt;"",Q685,I685)-TODAY()&lt;=2,"POR VENCER","EN TIEMPO")))))</f>
        <v>ATRASADO</v>
      </c>
      <c r="N685" s="23" t="s">
        <v>245</v>
      </c>
      <c r="P685" s="23" t="s">
        <v>1309</v>
      </c>
      <c r="Q685" s="28"/>
    </row>
    <row r="686" spans="1:17" ht="16.5" x14ac:dyDescent="0.3">
      <c r="A686" s="23" t="s">
        <v>1307</v>
      </c>
      <c r="B686" s="23"/>
      <c r="C686" s="23" t="s">
        <v>1314</v>
      </c>
      <c r="D686" s="24">
        <v>46246</v>
      </c>
      <c r="E686" s="25">
        <v>1</v>
      </c>
      <c r="F686" s="24">
        <v>46246</v>
      </c>
      <c r="G686" s="23" t="s">
        <v>93</v>
      </c>
      <c r="H686" s="26">
        <v>28</v>
      </c>
      <c r="I686" s="24">
        <f t="shared" si="33"/>
        <v>46274</v>
      </c>
      <c r="J686" s="26">
        <f t="shared" ca="1" si="31"/>
        <v>-30</v>
      </c>
      <c r="K686" s="26">
        <f t="shared" ca="1" si="32"/>
        <v>30</v>
      </c>
      <c r="L686" s="27"/>
      <c r="M686" s="26" t="str">
        <f ca="1">IF(L686&lt;&gt;"","Entregado",IF(NOT(ISNUMBER(IF(Q686&lt;&gt;"",Q686,I686))),"REVISAR TE",IF(AND(ISNUMBER(Resumen!$B$3),IF(Q686&lt;&gt;"",Q686,I686)&lt;Resumen!$B$3),"REVISAR",IF(IF(Q686&lt;&gt;"",Q686,I686)&lt;TODAY(),"ATRASADO",IF(IF(Q686&lt;&gt;"",Q686,I686)-TODAY()&lt;=2,"POR VENCER","EN TIEMPO")))))</f>
        <v>ATRASADO</v>
      </c>
      <c r="N686" s="23" t="s">
        <v>245</v>
      </c>
      <c r="P686" s="23" t="s">
        <v>1309</v>
      </c>
      <c r="Q686" s="28"/>
    </row>
    <row r="687" spans="1:17" ht="16.5" x14ac:dyDescent="0.3">
      <c r="A687" s="23" t="s">
        <v>1307</v>
      </c>
      <c r="B687" s="23"/>
      <c r="C687" s="23" t="s">
        <v>1315</v>
      </c>
      <c r="D687" s="24">
        <v>46246</v>
      </c>
      <c r="E687" s="25">
        <v>1</v>
      </c>
      <c r="F687" s="24">
        <v>46246</v>
      </c>
      <c r="G687" s="23" t="s">
        <v>93</v>
      </c>
      <c r="H687" s="26">
        <v>28</v>
      </c>
      <c r="I687" s="24">
        <f t="shared" si="33"/>
        <v>46274</v>
      </c>
      <c r="J687" s="26">
        <f t="shared" ca="1" si="31"/>
        <v>-30</v>
      </c>
      <c r="K687" s="26">
        <f t="shared" ca="1" si="32"/>
        <v>30</v>
      </c>
      <c r="L687" s="27"/>
      <c r="M687" s="26" t="str">
        <f ca="1">IF(L687&lt;&gt;"","Entregado",IF(NOT(ISNUMBER(IF(Q687&lt;&gt;"",Q687,I687))),"REVISAR TE",IF(AND(ISNUMBER(Resumen!$B$3),IF(Q687&lt;&gt;"",Q687,I687)&lt;Resumen!$B$3),"REVISAR",IF(IF(Q687&lt;&gt;"",Q687,I687)&lt;TODAY(),"ATRASADO",IF(IF(Q687&lt;&gt;"",Q687,I687)-TODAY()&lt;=2,"POR VENCER","EN TIEMPO")))))</f>
        <v>ATRASADO</v>
      </c>
      <c r="N687" s="23" t="s">
        <v>245</v>
      </c>
      <c r="P687" s="23" t="s">
        <v>1309</v>
      </c>
      <c r="Q687" s="28"/>
    </row>
    <row r="688" spans="1:17" ht="16.5" x14ac:dyDescent="0.3">
      <c r="A688" s="23" t="s">
        <v>1307</v>
      </c>
      <c r="B688" s="23"/>
      <c r="C688" s="23" t="s">
        <v>1316</v>
      </c>
      <c r="D688" s="24">
        <v>46246</v>
      </c>
      <c r="E688" s="25">
        <v>1</v>
      </c>
      <c r="F688" s="24">
        <v>46246</v>
      </c>
      <c r="G688" s="23" t="s">
        <v>93</v>
      </c>
      <c r="H688" s="26">
        <v>28</v>
      </c>
      <c r="I688" s="24">
        <f t="shared" si="33"/>
        <v>46274</v>
      </c>
      <c r="J688" s="26">
        <f t="shared" ca="1" si="31"/>
        <v>-30</v>
      </c>
      <c r="K688" s="26">
        <f t="shared" ca="1" si="32"/>
        <v>30</v>
      </c>
      <c r="L688" s="27"/>
      <c r="M688" s="26" t="str">
        <f ca="1">IF(L688&lt;&gt;"","Entregado",IF(NOT(ISNUMBER(IF(Q688&lt;&gt;"",Q688,I688))),"REVISAR TE",IF(AND(ISNUMBER(Resumen!$B$3),IF(Q688&lt;&gt;"",Q688,I688)&lt;Resumen!$B$3),"REVISAR",IF(IF(Q688&lt;&gt;"",Q688,I688)&lt;TODAY(),"ATRASADO",IF(IF(Q688&lt;&gt;"",Q688,I688)-TODAY()&lt;=2,"POR VENCER","EN TIEMPO")))))</f>
        <v>ATRASADO</v>
      </c>
      <c r="N688" s="23" t="s">
        <v>245</v>
      </c>
      <c r="P688" s="23" t="s">
        <v>1309</v>
      </c>
      <c r="Q688" s="28"/>
    </row>
    <row r="689" spans="1:17" ht="16.5" x14ac:dyDescent="0.3">
      <c r="A689" s="23" t="s">
        <v>1317</v>
      </c>
      <c r="B689" s="23" t="s">
        <v>54</v>
      </c>
      <c r="C689" s="23" t="s">
        <v>1318</v>
      </c>
      <c r="D689" s="24">
        <v>46246</v>
      </c>
      <c r="E689" s="25">
        <v>1</v>
      </c>
      <c r="F689" s="24">
        <v>46246</v>
      </c>
      <c r="G689" s="23" t="s">
        <v>156</v>
      </c>
      <c r="H689" s="26">
        <v>21</v>
      </c>
      <c r="I689" s="24">
        <f t="shared" si="33"/>
        <v>46267</v>
      </c>
      <c r="J689" s="26">
        <f t="shared" ca="1" si="31"/>
        <v>-37</v>
      </c>
      <c r="K689" s="26">
        <f t="shared" ca="1" si="32"/>
        <v>37</v>
      </c>
      <c r="L689" s="27"/>
      <c r="M689" s="26" t="str">
        <f ca="1">IF(L689&lt;&gt;"","Entregado",IF(NOT(ISNUMBER(IF(Q689&lt;&gt;"",Q689,I689))),"REVISAR TE",IF(AND(ISNUMBER(Resumen!$B$3),IF(Q689&lt;&gt;"",Q689,I689)&lt;Resumen!$B$3),"REVISAR",IF(IF(Q689&lt;&gt;"",Q689,I689)&lt;TODAY(),"ATRASADO",IF(IF(Q689&lt;&gt;"",Q689,I689)-TODAY()&lt;=2,"POR VENCER","EN TIEMPO")))))</f>
        <v>ATRASADO</v>
      </c>
      <c r="N689" s="23" t="s">
        <v>245</v>
      </c>
      <c r="P689" s="23" t="s">
        <v>1319</v>
      </c>
      <c r="Q689" s="28"/>
    </row>
    <row r="690" spans="1:17" ht="16.5" x14ac:dyDescent="0.3">
      <c r="A690" s="23" t="s">
        <v>1320</v>
      </c>
      <c r="B690" s="23"/>
      <c r="C690" s="23" t="s">
        <v>1321</v>
      </c>
      <c r="D690" s="24">
        <v>46247</v>
      </c>
      <c r="E690" s="25">
        <v>10</v>
      </c>
      <c r="F690" s="24">
        <v>46247</v>
      </c>
      <c r="G690" s="23" t="s">
        <v>411</v>
      </c>
      <c r="H690" s="26">
        <v>3</v>
      </c>
      <c r="I690" s="24">
        <f t="shared" si="33"/>
        <v>46250</v>
      </c>
      <c r="J690" s="26">
        <f t="shared" ca="1" si="31"/>
        <v>-54</v>
      </c>
      <c r="K690" s="26">
        <f t="shared" ca="1" si="32"/>
        <v>54</v>
      </c>
      <c r="L690" s="27"/>
      <c r="M690" s="26" t="str">
        <f ca="1">IF(L690&lt;&gt;"","Entregado",IF(NOT(ISNUMBER(IF(Q690&lt;&gt;"",Q690,I690))),"REVISAR TE",IF(AND(ISNUMBER(Resumen!$B$3),IF(Q690&lt;&gt;"",Q690,I690)&lt;Resumen!$B$3),"REVISAR",IF(IF(Q690&lt;&gt;"",Q690,I690)&lt;TODAY(),"ATRASADO",IF(IF(Q690&lt;&gt;"",Q690,I690)-TODAY()&lt;=2,"POR VENCER","EN TIEMPO")))))</f>
        <v>ATRASADO</v>
      </c>
      <c r="N690" s="23" t="s">
        <v>94</v>
      </c>
      <c r="P690" s="23" t="s">
        <v>1322</v>
      </c>
      <c r="Q690" s="28"/>
    </row>
    <row r="691" spans="1:17" ht="16.5" x14ac:dyDescent="0.3">
      <c r="A691" s="23" t="s">
        <v>1323</v>
      </c>
      <c r="B691" s="23" t="s">
        <v>54</v>
      </c>
      <c r="C691" s="23" t="s">
        <v>1324</v>
      </c>
      <c r="D691" s="24">
        <v>46248</v>
      </c>
      <c r="E691" s="25">
        <v>5</v>
      </c>
      <c r="F691" s="24">
        <v>46248</v>
      </c>
      <c r="G691" s="23" t="s">
        <v>93</v>
      </c>
      <c r="H691" s="26">
        <v>28</v>
      </c>
      <c r="I691" s="24">
        <f t="shared" si="33"/>
        <v>46276</v>
      </c>
      <c r="J691" s="26">
        <f t="shared" ca="1" si="31"/>
        <v>-28</v>
      </c>
      <c r="K691" s="26">
        <f t="shared" ca="1" si="32"/>
        <v>28</v>
      </c>
      <c r="L691" s="27"/>
      <c r="M691" s="26" t="str">
        <f ca="1">IF(L691&lt;&gt;"","Entregado",IF(NOT(ISNUMBER(IF(Q691&lt;&gt;"",Q691,I691))),"REVISAR TE",IF(AND(ISNUMBER(Resumen!$B$3),IF(Q691&lt;&gt;"",Q691,I691)&lt;Resumen!$B$3),"REVISAR",IF(IF(Q691&lt;&gt;"",Q691,I691)&lt;TODAY(),"ATRASADO",IF(IF(Q691&lt;&gt;"",Q691,I691)-TODAY()&lt;=2,"POR VENCER","EN TIEMPO")))))</f>
        <v>ATRASADO</v>
      </c>
      <c r="N691" s="23" t="s">
        <v>98</v>
      </c>
      <c r="P691" s="23" t="s">
        <v>1325</v>
      </c>
      <c r="Q691" s="28"/>
    </row>
    <row r="692" spans="1:17" ht="16.5" x14ac:dyDescent="0.3">
      <c r="A692" s="23" t="s">
        <v>1326</v>
      </c>
      <c r="B692" s="23" t="s">
        <v>54</v>
      </c>
      <c r="C692" s="23" t="s">
        <v>1327</v>
      </c>
      <c r="D692" s="24">
        <v>46251</v>
      </c>
      <c r="E692" s="25">
        <v>1</v>
      </c>
      <c r="F692" s="24">
        <v>46251</v>
      </c>
      <c r="G692" s="23" t="s">
        <v>83</v>
      </c>
      <c r="H692" s="26">
        <v>21</v>
      </c>
      <c r="I692" s="24">
        <f t="shared" si="33"/>
        <v>46272</v>
      </c>
      <c r="J692" s="26">
        <f t="shared" ca="1" si="31"/>
        <v>-32</v>
      </c>
      <c r="K692" s="26">
        <f t="shared" ca="1" si="32"/>
        <v>32</v>
      </c>
      <c r="L692" s="27"/>
      <c r="M692" s="26" t="str">
        <f ca="1">IF(L692&lt;&gt;"","Entregado",IF(NOT(ISNUMBER(IF(Q692&lt;&gt;"",Q692,I692))),"REVISAR TE",IF(AND(ISNUMBER(Resumen!$B$3),IF(Q692&lt;&gt;"",Q692,I692)&lt;Resumen!$B$3),"REVISAR",IF(IF(Q692&lt;&gt;"",Q692,I692)&lt;TODAY(),"ATRASADO",IF(IF(Q692&lt;&gt;"",Q692,I692)-TODAY()&lt;=2,"POR VENCER","EN TIEMPO")))))</f>
        <v>ATRASADO</v>
      </c>
      <c r="N692" s="23" t="s">
        <v>216</v>
      </c>
      <c r="P692" s="23" t="s">
        <v>1328</v>
      </c>
      <c r="Q692" s="28"/>
    </row>
    <row r="693" spans="1:17" ht="16.5" x14ac:dyDescent="0.3">
      <c r="A693" s="23" t="s">
        <v>1329</v>
      </c>
      <c r="B693" s="23" t="s">
        <v>52</v>
      </c>
      <c r="C693" s="23" t="s">
        <v>1330</v>
      </c>
      <c r="D693" s="24">
        <v>46254</v>
      </c>
      <c r="E693" s="25">
        <v>60</v>
      </c>
      <c r="F693" s="24">
        <v>46254</v>
      </c>
      <c r="G693" s="23" t="s">
        <v>156</v>
      </c>
      <c r="H693" s="26">
        <v>21</v>
      </c>
      <c r="I693" s="24">
        <f t="shared" si="33"/>
        <v>46275</v>
      </c>
      <c r="J693" s="26">
        <f t="shared" ca="1" si="31"/>
        <v>-29</v>
      </c>
      <c r="K693" s="26">
        <f t="shared" ca="1" si="32"/>
        <v>29</v>
      </c>
      <c r="L693" s="27"/>
      <c r="M693" s="26" t="str">
        <f ca="1">IF(L693&lt;&gt;"","Entregado",IF(NOT(ISNUMBER(IF(Q693&lt;&gt;"",Q693,I693))),"REVISAR TE",IF(AND(ISNUMBER(Resumen!$B$3),IF(Q693&lt;&gt;"",Q693,I693)&lt;Resumen!$B$3),"REVISAR",IF(IF(Q693&lt;&gt;"",Q693,I693)&lt;TODAY(),"ATRASADO",IF(IF(Q693&lt;&gt;"",Q693,I693)-TODAY()&lt;=2,"POR VENCER","EN TIEMPO")))))</f>
        <v>ATRASADO</v>
      </c>
      <c r="N693" s="23" t="s">
        <v>388</v>
      </c>
      <c r="P693" s="23" t="s">
        <v>1331</v>
      </c>
      <c r="Q693" s="28"/>
    </row>
    <row r="694" spans="1:17" ht="16.5" x14ac:dyDescent="0.3">
      <c r="A694" s="23" t="s">
        <v>1332</v>
      </c>
      <c r="B694" s="23" t="s">
        <v>54</v>
      </c>
      <c r="C694" s="23" t="s">
        <v>1334</v>
      </c>
      <c r="D694" s="24">
        <v>46254</v>
      </c>
      <c r="E694" s="25">
        <v>1</v>
      </c>
      <c r="F694" s="24">
        <v>46254</v>
      </c>
      <c r="G694" s="23" t="s">
        <v>1333</v>
      </c>
      <c r="H694" s="26">
        <v>15</v>
      </c>
      <c r="I694" s="24">
        <f t="shared" si="33"/>
        <v>46269</v>
      </c>
      <c r="J694" s="26">
        <f t="shared" ca="1" si="31"/>
        <v>-35</v>
      </c>
      <c r="K694" s="26">
        <f t="shared" ca="1" si="32"/>
        <v>35</v>
      </c>
      <c r="L694" s="27"/>
      <c r="M694" s="26" t="str">
        <f ca="1">IF(L694&lt;&gt;"","Entregado",IF(NOT(ISNUMBER(IF(Q694&lt;&gt;"",Q694,I694))),"REVISAR TE",IF(AND(ISNUMBER(Resumen!$B$3),IF(Q694&lt;&gt;"",Q694,I694)&lt;Resumen!$B$3),"REVISAR",IF(IF(Q694&lt;&gt;"",Q694,I694)&lt;TODAY(),"ATRASADO",IF(IF(Q694&lt;&gt;"",Q694,I694)-TODAY()&lt;=2,"POR VENCER","EN TIEMPO")))))</f>
        <v>ATRASADO</v>
      </c>
      <c r="N694" s="23" t="s">
        <v>84</v>
      </c>
      <c r="P694" s="23" t="s">
        <v>1335</v>
      </c>
      <c r="Q694" s="28"/>
    </row>
    <row r="695" spans="1:17" ht="16.5" x14ac:dyDescent="0.3">
      <c r="A695" s="23" t="s">
        <v>1336</v>
      </c>
      <c r="B695" s="23" t="s">
        <v>54</v>
      </c>
      <c r="C695" s="23" t="s">
        <v>1337</v>
      </c>
      <c r="D695" s="24">
        <v>46255</v>
      </c>
      <c r="E695" s="25">
        <v>53</v>
      </c>
      <c r="F695" s="24">
        <v>46255</v>
      </c>
      <c r="G695" s="23" t="s">
        <v>192</v>
      </c>
      <c r="H695" s="26">
        <v>35</v>
      </c>
      <c r="I695" s="24">
        <f t="shared" si="33"/>
        <v>46290</v>
      </c>
      <c r="J695" s="26">
        <f t="shared" ca="1" si="31"/>
        <v>-14</v>
      </c>
      <c r="K695" s="26">
        <f t="shared" ca="1" si="32"/>
        <v>14</v>
      </c>
      <c r="L695" s="27"/>
      <c r="M695" s="26" t="str">
        <f ca="1">IF(L695&lt;&gt;"","Entregado",IF(NOT(ISNUMBER(IF(Q695&lt;&gt;"",Q695,I695))),"REVISAR TE",IF(AND(ISNUMBER(Resumen!$B$3),IF(Q695&lt;&gt;"",Q695,I695)&lt;Resumen!$B$3),"REVISAR",IF(IF(Q695&lt;&gt;"",Q695,I695)&lt;TODAY(),"ATRASADO",IF(IF(Q695&lt;&gt;"",Q695,I695)-TODAY()&lt;=2,"POR VENCER","EN TIEMPO")))))</f>
        <v>ATRASADO</v>
      </c>
      <c r="N695" s="23" t="s">
        <v>94</v>
      </c>
      <c r="P695" s="23" t="s">
        <v>1338</v>
      </c>
      <c r="Q695" s="28"/>
    </row>
    <row r="696" spans="1:17" ht="16.5" x14ac:dyDescent="0.3">
      <c r="A696" s="23" t="s">
        <v>1339</v>
      </c>
      <c r="B696" s="23" t="s">
        <v>54</v>
      </c>
      <c r="C696" s="23" t="s">
        <v>1340</v>
      </c>
      <c r="D696" s="24">
        <v>46255</v>
      </c>
      <c r="E696" s="25">
        <v>1</v>
      </c>
      <c r="F696" s="24">
        <v>46255</v>
      </c>
      <c r="G696" s="23" t="s">
        <v>156</v>
      </c>
      <c r="H696" s="26">
        <v>21</v>
      </c>
      <c r="I696" s="24">
        <f t="shared" si="33"/>
        <v>46276</v>
      </c>
      <c r="J696" s="26">
        <f t="shared" ca="1" si="31"/>
        <v>-28</v>
      </c>
      <c r="K696" s="26">
        <f t="shared" ca="1" si="32"/>
        <v>28</v>
      </c>
      <c r="L696" s="27"/>
      <c r="M696" s="26" t="str">
        <f ca="1">IF(L696&lt;&gt;"","Entregado",IF(NOT(ISNUMBER(IF(Q696&lt;&gt;"",Q696,I696))),"REVISAR TE",IF(AND(ISNUMBER(Resumen!$B$3),IF(Q696&lt;&gt;"",Q696,I696)&lt;Resumen!$B$3),"REVISAR",IF(IF(Q696&lt;&gt;"",Q696,I696)&lt;TODAY(),"ATRASADO",IF(IF(Q696&lt;&gt;"",Q696,I696)-TODAY()&lt;=2,"POR VENCER","EN TIEMPO")))))</f>
        <v>ATRASADO</v>
      </c>
      <c r="N696" s="23" t="s">
        <v>216</v>
      </c>
      <c r="P696" s="23" t="s">
        <v>1341</v>
      </c>
      <c r="Q696" s="28"/>
    </row>
    <row r="697" spans="1:17" ht="16.5" x14ac:dyDescent="0.3">
      <c r="A697" s="23" t="s">
        <v>1339</v>
      </c>
      <c r="B697" s="23" t="s">
        <v>54</v>
      </c>
      <c r="C697" s="23" t="s">
        <v>1342</v>
      </c>
      <c r="D697" s="24">
        <v>46255</v>
      </c>
      <c r="E697" s="25">
        <v>1</v>
      </c>
      <c r="F697" s="24">
        <v>46255</v>
      </c>
      <c r="G697" s="23" t="s">
        <v>156</v>
      </c>
      <c r="H697" s="26">
        <v>21</v>
      </c>
      <c r="I697" s="24">
        <f t="shared" si="33"/>
        <v>46276</v>
      </c>
      <c r="J697" s="26">
        <f t="shared" ca="1" si="31"/>
        <v>-28</v>
      </c>
      <c r="K697" s="26">
        <f t="shared" ca="1" si="32"/>
        <v>28</v>
      </c>
      <c r="L697" s="27"/>
      <c r="M697" s="26" t="str">
        <f ca="1">IF(L697&lt;&gt;"","Entregado",IF(NOT(ISNUMBER(IF(Q697&lt;&gt;"",Q697,I697))),"REVISAR TE",IF(AND(ISNUMBER(Resumen!$B$3),IF(Q697&lt;&gt;"",Q697,I697)&lt;Resumen!$B$3),"REVISAR",IF(IF(Q697&lt;&gt;"",Q697,I697)&lt;TODAY(),"ATRASADO",IF(IF(Q697&lt;&gt;"",Q697,I697)-TODAY()&lt;=2,"POR VENCER","EN TIEMPO")))))</f>
        <v>ATRASADO</v>
      </c>
      <c r="N697" s="23" t="s">
        <v>216</v>
      </c>
      <c r="P697" s="23" t="s">
        <v>1341</v>
      </c>
      <c r="Q697" s="28"/>
    </row>
    <row r="698" spans="1:17" ht="16.5" x14ac:dyDescent="0.3">
      <c r="A698" s="23" t="s">
        <v>1343</v>
      </c>
      <c r="B698" s="23" t="s">
        <v>53</v>
      </c>
      <c r="C698" s="23" t="s">
        <v>1344</v>
      </c>
      <c r="D698" s="24">
        <v>46255</v>
      </c>
      <c r="E698" s="25">
        <v>33</v>
      </c>
      <c r="F698" s="24">
        <v>46255</v>
      </c>
      <c r="G698" s="23" t="s">
        <v>252</v>
      </c>
      <c r="H698" s="26">
        <v>49</v>
      </c>
      <c r="I698" s="24">
        <f t="shared" si="33"/>
        <v>46304</v>
      </c>
      <c r="J698" s="26">
        <f t="shared" ca="1" si="31"/>
        <v>0</v>
      </c>
      <c r="K698" s="26" t="str">
        <f t="shared" ca="1" si="32"/>
        <v/>
      </c>
      <c r="L698" s="27"/>
      <c r="M698" s="26" t="str">
        <f ca="1">IF(L698&lt;&gt;"","Entregado",IF(NOT(ISNUMBER(IF(Q698&lt;&gt;"",Q698,I698))),"REVISAR TE",IF(AND(ISNUMBER(Resumen!$B$3),IF(Q698&lt;&gt;"",Q698,I698)&lt;Resumen!$B$3),"REVISAR",IF(IF(Q698&lt;&gt;"",Q698,I698)&lt;TODAY(),"ATRASADO",IF(IF(Q698&lt;&gt;"",Q698,I698)-TODAY()&lt;=2,"POR VENCER","EN TIEMPO")))))</f>
        <v>POR VENCER</v>
      </c>
      <c r="N698" s="23" t="s">
        <v>899</v>
      </c>
      <c r="P698" s="23" t="s">
        <v>1345</v>
      </c>
      <c r="Q698" s="28"/>
    </row>
    <row r="699" spans="1:17" ht="16.5" x14ac:dyDescent="0.3">
      <c r="A699" s="23" t="s">
        <v>1343</v>
      </c>
      <c r="B699" s="23" t="s">
        <v>53</v>
      </c>
      <c r="C699" s="23" t="s">
        <v>1346</v>
      </c>
      <c r="D699" s="24">
        <v>46255</v>
      </c>
      <c r="E699" s="25">
        <v>18</v>
      </c>
      <c r="F699" s="24">
        <v>46255</v>
      </c>
      <c r="G699" s="23" t="s">
        <v>252</v>
      </c>
      <c r="H699" s="26">
        <v>49</v>
      </c>
      <c r="I699" s="24">
        <f t="shared" si="33"/>
        <v>46304</v>
      </c>
      <c r="J699" s="26">
        <f t="shared" ca="1" si="31"/>
        <v>0</v>
      </c>
      <c r="K699" s="26" t="str">
        <f t="shared" ca="1" si="32"/>
        <v/>
      </c>
      <c r="L699" s="27"/>
      <c r="M699" s="26" t="str">
        <f ca="1">IF(L699&lt;&gt;"","Entregado",IF(NOT(ISNUMBER(IF(Q699&lt;&gt;"",Q699,I699))),"REVISAR TE",IF(AND(ISNUMBER(Resumen!$B$3),IF(Q699&lt;&gt;"",Q699,I699)&lt;Resumen!$B$3),"REVISAR",IF(IF(Q699&lt;&gt;"",Q699,I699)&lt;TODAY(),"ATRASADO",IF(IF(Q699&lt;&gt;"",Q699,I699)-TODAY()&lt;=2,"POR VENCER","EN TIEMPO")))))</f>
        <v>POR VENCER</v>
      </c>
      <c r="N699" s="23" t="s">
        <v>902</v>
      </c>
      <c r="P699" s="23" t="s">
        <v>1345</v>
      </c>
      <c r="Q699" s="28"/>
    </row>
    <row r="700" spans="1:17" ht="16.5" x14ac:dyDescent="0.3">
      <c r="A700" s="23" t="s">
        <v>1343</v>
      </c>
      <c r="B700" s="23" t="s">
        <v>53</v>
      </c>
      <c r="C700" s="23" t="s">
        <v>1347</v>
      </c>
      <c r="D700" s="24">
        <v>46255</v>
      </c>
      <c r="E700" s="25">
        <v>18</v>
      </c>
      <c r="F700" s="24">
        <v>46255</v>
      </c>
      <c r="G700" s="23" t="s">
        <v>252</v>
      </c>
      <c r="H700" s="26">
        <v>49</v>
      </c>
      <c r="I700" s="24">
        <f t="shared" si="33"/>
        <v>46304</v>
      </c>
      <c r="J700" s="26">
        <f t="shared" ca="1" si="31"/>
        <v>0</v>
      </c>
      <c r="K700" s="26" t="str">
        <f t="shared" ca="1" si="32"/>
        <v/>
      </c>
      <c r="L700" s="27"/>
      <c r="M700" s="26" t="str">
        <f ca="1">IF(L700&lt;&gt;"","Entregado",IF(NOT(ISNUMBER(IF(Q700&lt;&gt;"",Q700,I700))),"REVISAR TE",IF(AND(ISNUMBER(Resumen!$B$3),IF(Q700&lt;&gt;"",Q700,I700)&lt;Resumen!$B$3),"REVISAR",IF(IF(Q700&lt;&gt;"",Q700,I700)&lt;TODAY(),"ATRASADO",IF(IF(Q700&lt;&gt;"",Q700,I700)-TODAY()&lt;=2,"POR VENCER","EN TIEMPO")))))</f>
        <v>POR VENCER</v>
      </c>
      <c r="N700" s="23" t="s">
        <v>904</v>
      </c>
      <c r="P700" s="23" t="s">
        <v>1345</v>
      </c>
      <c r="Q700" s="28"/>
    </row>
    <row r="701" spans="1:17" ht="16.5" x14ac:dyDescent="0.3">
      <c r="A701" s="23" t="s">
        <v>1343</v>
      </c>
      <c r="B701" s="23" t="s">
        <v>53</v>
      </c>
      <c r="C701" s="23" t="s">
        <v>1349</v>
      </c>
      <c r="D701" s="24">
        <v>46255</v>
      </c>
      <c r="E701" s="25">
        <v>33</v>
      </c>
      <c r="F701" s="24">
        <v>46255</v>
      </c>
      <c r="G701" s="23" t="s">
        <v>252</v>
      </c>
      <c r="H701" s="26">
        <v>49</v>
      </c>
      <c r="I701" s="24">
        <f t="shared" si="33"/>
        <v>46304</v>
      </c>
      <c r="J701" s="26">
        <f t="shared" ca="1" si="31"/>
        <v>0</v>
      </c>
      <c r="K701" s="26" t="str">
        <f t="shared" ca="1" si="32"/>
        <v/>
      </c>
      <c r="L701" s="27"/>
      <c r="M701" s="26" t="str">
        <f ca="1">IF(L701&lt;&gt;"","Entregado",IF(NOT(ISNUMBER(IF(Q701&lt;&gt;"",Q701,I701))),"REVISAR TE",IF(AND(ISNUMBER(Resumen!$B$3),IF(Q701&lt;&gt;"",Q701,I701)&lt;Resumen!$B$3),"REVISAR",IF(IF(Q701&lt;&gt;"",Q701,I701)&lt;TODAY(),"ATRASADO",IF(IF(Q701&lt;&gt;"",Q701,I701)-TODAY()&lt;=2,"POR VENCER","EN TIEMPO")))))</f>
        <v>POR VENCER</v>
      </c>
      <c r="N701" s="23" t="s">
        <v>1348</v>
      </c>
      <c r="P701" s="23" t="s">
        <v>1345</v>
      </c>
      <c r="Q701" s="28"/>
    </row>
    <row r="702" spans="1:17" ht="16.5" x14ac:dyDescent="0.3">
      <c r="A702" s="23" t="s">
        <v>1350</v>
      </c>
      <c r="B702" s="23" t="s">
        <v>52</v>
      </c>
      <c r="C702" s="23" t="s">
        <v>1351</v>
      </c>
      <c r="D702" s="24">
        <v>46255</v>
      </c>
      <c r="E702" s="25">
        <v>6</v>
      </c>
      <c r="F702" s="24">
        <v>46255</v>
      </c>
      <c r="G702" s="23" t="s">
        <v>411</v>
      </c>
      <c r="H702" s="26">
        <v>3</v>
      </c>
      <c r="I702" s="24">
        <f t="shared" si="33"/>
        <v>46258</v>
      </c>
      <c r="J702" s="26">
        <f t="shared" ca="1" si="31"/>
        <v>-46</v>
      </c>
      <c r="K702" s="26">
        <f t="shared" ca="1" si="32"/>
        <v>46</v>
      </c>
      <c r="L702" s="27"/>
      <c r="M702" s="26" t="str">
        <f ca="1">IF(L702&lt;&gt;"","Entregado",IF(NOT(ISNUMBER(IF(Q702&lt;&gt;"",Q702,I702))),"REVISAR TE",IF(AND(ISNUMBER(Resumen!$B$3),IF(Q702&lt;&gt;"",Q702,I702)&lt;Resumen!$B$3),"REVISAR",IF(IF(Q702&lt;&gt;"",Q702,I702)&lt;TODAY(),"ATRASADO",IF(IF(Q702&lt;&gt;"",Q702,I702)-TODAY()&lt;=2,"POR VENCER","EN TIEMPO")))))</f>
        <v>ATRASADO</v>
      </c>
      <c r="N702" s="23" t="s">
        <v>460</v>
      </c>
      <c r="P702" s="23" t="s">
        <v>1352</v>
      </c>
      <c r="Q702" s="28"/>
    </row>
    <row r="703" spans="1:17" ht="16.5" x14ac:dyDescent="0.3">
      <c r="A703" s="23" t="s">
        <v>1353</v>
      </c>
      <c r="B703" s="23" t="s">
        <v>64</v>
      </c>
      <c r="C703" s="23" t="s">
        <v>1354</v>
      </c>
      <c r="D703" s="24">
        <v>46259</v>
      </c>
      <c r="E703" s="25">
        <v>1</v>
      </c>
      <c r="F703" s="24">
        <v>46259</v>
      </c>
      <c r="G703" s="23" t="s">
        <v>156</v>
      </c>
      <c r="H703" s="26">
        <v>21</v>
      </c>
      <c r="I703" s="24">
        <f t="shared" si="33"/>
        <v>46280</v>
      </c>
      <c r="J703" s="26">
        <f t="shared" ca="1" si="31"/>
        <v>-24</v>
      </c>
      <c r="K703" s="26">
        <f t="shared" ca="1" si="32"/>
        <v>24</v>
      </c>
      <c r="L703" s="27"/>
      <c r="M703" s="26" t="str">
        <f ca="1">IF(L703&lt;&gt;"","Entregado",IF(NOT(ISNUMBER(IF(Q703&lt;&gt;"",Q703,I703))),"REVISAR TE",IF(AND(ISNUMBER(Resumen!$B$3),IF(Q703&lt;&gt;"",Q703,I703)&lt;Resumen!$B$3),"REVISAR",IF(IF(Q703&lt;&gt;"",Q703,I703)&lt;TODAY(),"ATRASADO",IF(IF(Q703&lt;&gt;"",Q703,I703)-TODAY()&lt;=2,"POR VENCER","EN TIEMPO")))))</f>
        <v>ATRASADO</v>
      </c>
      <c r="N703" s="23" t="s">
        <v>554</v>
      </c>
      <c r="P703" s="23" t="s">
        <v>1355</v>
      </c>
      <c r="Q703" s="28"/>
    </row>
    <row r="704" spans="1:17" ht="16.5" x14ac:dyDescent="0.3">
      <c r="A704" s="23" t="s">
        <v>1353</v>
      </c>
      <c r="B704" s="23" t="s">
        <v>64</v>
      </c>
      <c r="C704" s="23" t="s">
        <v>1356</v>
      </c>
      <c r="D704" s="24">
        <v>46259</v>
      </c>
      <c r="E704" s="25">
        <v>1</v>
      </c>
      <c r="F704" s="24">
        <v>46259</v>
      </c>
      <c r="G704" s="23" t="s">
        <v>156</v>
      </c>
      <c r="H704" s="26">
        <v>21</v>
      </c>
      <c r="I704" s="24">
        <f t="shared" si="33"/>
        <v>46280</v>
      </c>
      <c r="J704" s="26">
        <f t="shared" ca="1" si="31"/>
        <v>-24</v>
      </c>
      <c r="K704" s="26">
        <f t="shared" ca="1" si="32"/>
        <v>24</v>
      </c>
      <c r="L704" s="27"/>
      <c r="M704" s="26" t="str">
        <f ca="1">IF(L704&lt;&gt;"","Entregado",IF(NOT(ISNUMBER(IF(Q704&lt;&gt;"",Q704,I704))),"REVISAR TE",IF(AND(ISNUMBER(Resumen!$B$3),IF(Q704&lt;&gt;"",Q704,I704)&lt;Resumen!$B$3),"REVISAR",IF(IF(Q704&lt;&gt;"",Q704,I704)&lt;TODAY(),"ATRASADO",IF(IF(Q704&lt;&gt;"",Q704,I704)-TODAY()&lt;=2,"POR VENCER","EN TIEMPO")))))</f>
        <v>ATRASADO</v>
      </c>
      <c r="N704" s="23" t="s">
        <v>554</v>
      </c>
      <c r="P704" s="23" t="s">
        <v>1355</v>
      </c>
      <c r="Q704" s="28"/>
    </row>
    <row r="705" spans="1:17" ht="16.5" x14ac:dyDescent="0.3">
      <c r="A705" s="23" t="s">
        <v>1353</v>
      </c>
      <c r="B705" s="23" t="s">
        <v>64</v>
      </c>
      <c r="C705" s="23" t="s">
        <v>1357</v>
      </c>
      <c r="D705" s="24">
        <v>46259</v>
      </c>
      <c r="E705" s="25">
        <v>1</v>
      </c>
      <c r="F705" s="24">
        <v>46259</v>
      </c>
      <c r="G705" s="23" t="s">
        <v>156</v>
      </c>
      <c r="H705" s="26">
        <v>21</v>
      </c>
      <c r="I705" s="24">
        <f t="shared" si="33"/>
        <v>46280</v>
      </c>
      <c r="J705" s="26">
        <f t="shared" ca="1" si="31"/>
        <v>-24</v>
      </c>
      <c r="K705" s="26">
        <f t="shared" ca="1" si="32"/>
        <v>24</v>
      </c>
      <c r="L705" s="27"/>
      <c r="M705" s="26" t="str">
        <f ca="1">IF(L705&lt;&gt;"","Entregado",IF(NOT(ISNUMBER(IF(Q705&lt;&gt;"",Q705,I705))),"REVISAR TE",IF(AND(ISNUMBER(Resumen!$B$3),IF(Q705&lt;&gt;"",Q705,I705)&lt;Resumen!$B$3),"REVISAR",IF(IF(Q705&lt;&gt;"",Q705,I705)&lt;TODAY(),"ATRASADO",IF(IF(Q705&lt;&gt;"",Q705,I705)-TODAY()&lt;=2,"POR VENCER","EN TIEMPO")))))</f>
        <v>ATRASADO</v>
      </c>
      <c r="N705" s="23" t="s">
        <v>554</v>
      </c>
      <c r="P705" s="23" t="s">
        <v>1355</v>
      </c>
      <c r="Q705" s="28"/>
    </row>
    <row r="706" spans="1:17" ht="16.5" x14ac:dyDescent="0.3">
      <c r="A706" s="23" t="s">
        <v>1358</v>
      </c>
      <c r="B706" s="23" t="s">
        <v>55</v>
      </c>
      <c r="C706" s="23" t="s">
        <v>1359</v>
      </c>
      <c r="D706" s="24">
        <v>46259</v>
      </c>
      <c r="E706" s="25">
        <v>69</v>
      </c>
      <c r="F706" s="24">
        <v>46259</v>
      </c>
      <c r="G706" s="23" t="s">
        <v>204</v>
      </c>
      <c r="H706" s="26">
        <v>42</v>
      </c>
      <c r="I706" s="24">
        <f t="shared" si="33"/>
        <v>46301</v>
      </c>
      <c r="J706" s="26">
        <f t="shared" ref="J706:J769" ca="1" si="34">I706-TODAY()</f>
        <v>-3</v>
      </c>
      <c r="K706" s="26">
        <f t="shared" ref="K706:K769" ca="1" si="35">IF(AND(L706="",ISNUMBER(IF(Q706&lt;&gt;"",Q706,I706))),IF(IF(Q706&lt;&gt;"",Q706,I706)&lt;TODAY(),TODAY()-IF(Q706&lt;&gt;"",Q706,I706),""),"")</f>
        <v>3</v>
      </c>
      <c r="L706" s="27"/>
      <c r="M706" s="26" t="str">
        <f ca="1">IF(L706&lt;&gt;"","Entregado",IF(NOT(ISNUMBER(IF(Q706&lt;&gt;"",Q706,I706))),"REVISAR TE",IF(AND(ISNUMBER(Resumen!$B$3),IF(Q706&lt;&gt;"",Q706,I706)&lt;Resumen!$B$3),"REVISAR",IF(IF(Q706&lt;&gt;"",Q706,I706)&lt;TODAY(),"ATRASADO",IF(IF(Q706&lt;&gt;"",Q706,I706)-TODAY()&lt;=2,"POR VENCER","EN TIEMPO")))))</f>
        <v>ATRASADO</v>
      </c>
      <c r="N706" s="23" t="s">
        <v>94</v>
      </c>
      <c r="P706" s="23" t="s">
        <v>1360</v>
      </c>
      <c r="Q706" s="28"/>
    </row>
    <row r="707" spans="1:17" ht="16.5" x14ac:dyDescent="0.3">
      <c r="A707" s="23" t="s">
        <v>1358</v>
      </c>
      <c r="B707" s="23" t="s">
        <v>55</v>
      </c>
      <c r="C707" s="23" t="s">
        <v>1361</v>
      </c>
      <c r="D707" s="24">
        <v>46259</v>
      </c>
      <c r="E707" s="25">
        <v>68</v>
      </c>
      <c r="F707" s="24">
        <v>46259</v>
      </c>
      <c r="G707" s="23" t="s">
        <v>204</v>
      </c>
      <c r="H707" s="26">
        <v>42</v>
      </c>
      <c r="I707" s="24">
        <f t="shared" si="33"/>
        <v>46301</v>
      </c>
      <c r="J707" s="26">
        <f t="shared" ca="1" si="34"/>
        <v>-3</v>
      </c>
      <c r="K707" s="26">
        <f t="shared" ca="1" si="35"/>
        <v>3</v>
      </c>
      <c r="L707" s="27"/>
      <c r="M707" s="26" t="str">
        <f ca="1">IF(L707&lt;&gt;"","Entregado",IF(NOT(ISNUMBER(IF(Q707&lt;&gt;"",Q707,I707))),"REVISAR TE",IF(AND(ISNUMBER(Resumen!$B$3),IF(Q707&lt;&gt;"",Q707,I707)&lt;Resumen!$B$3),"REVISAR",IF(IF(Q707&lt;&gt;"",Q707,I707)&lt;TODAY(),"ATRASADO",IF(IF(Q707&lt;&gt;"",Q707,I707)-TODAY()&lt;=2,"POR VENCER","EN TIEMPO")))))</f>
        <v>ATRASADO</v>
      </c>
      <c r="N707" s="23" t="s">
        <v>94</v>
      </c>
      <c r="P707" s="23" t="s">
        <v>1360</v>
      </c>
      <c r="Q707" s="28"/>
    </row>
    <row r="708" spans="1:17" ht="16.5" x14ac:dyDescent="0.3">
      <c r="A708" s="23" t="s">
        <v>1358</v>
      </c>
      <c r="B708" s="23" t="s">
        <v>55</v>
      </c>
      <c r="C708" s="23" t="s">
        <v>1362</v>
      </c>
      <c r="D708" s="24">
        <v>46259</v>
      </c>
      <c r="E708" s="25">
        <v>68</v>
      </c>
      <c r="F708" s="24">
        <v>46259</v>
      </c>
      <c r="G708" s="23" t="s">
        <v>204</v>
      </c>
      <c r="H708" s="26">
        <v>42</v>
      </c>
      <c r="I708" s="24">
        <f t="shared" si="33"/>
        <v>46301</v>
      </c>
      <c r="J708" s="26">
        <f t="shared" ca="1" si="34"/>
        <v>-3</v>
      </c>
      <c r="K708" s="26">
        <f t="shared" ca="1" si="35"/>
        <v>3</v>
      </c>
      <c r="L708" s="27"/>
      <c r="M708" s="26" t="str">
        <f ca="1">IF(L708&lt;&gt;"","Entregado",IF(NOT(ISNUMBER(IF(Q708&lt;&gt;"",Q708,I708))),"REVISAR TE",IF(AND(ISNUMBER(Resumen!$B$3),IF(Q708&lt;&gt;"",Q708,I708)&lt;Resumen!$B$3),"REVISAR",IF(IF(Q708&lt;&gt;"",Q708,I708)&lt;TODAY(),"ATRASADO",IF(IF(Q708&lt;&gt;"",Q708,I708)-TODAY()&lt;=2,"POR VENCER","EN TIEMPO")))))</f>
        <v>ATRASADO</v>
      </c>
      <c r="N708" s="23" t="s">
        <v>94</v>
      </c>
      <c r="P708" s="23" t="s">
        <v>1360</v>
      </c>
      <c r="Q708" s="28"/>
    </row>
    <row r="709" spans="1:17" ht="16.5" x14ac:dyDescent="0.3">
      <c r="A709" s="23" t="s">
        <v>1358</v>
      </c>
      <c r="B709" s="23" t="s">
        <v>55</v>
      </c>
      <c r="C709" s="23" t="s">
        <v>1363</v>
      </c>
      <c r="D709" s="24">
        <v>46259</v>
      </c>
      <c r="E709" s="25">
        <v>68</v>
      </c>
      <c r="F709" s="24">
        <v>46259</v>
      </c>
      <c r="G709" s="23" t="s">
        <v>204</v>
      </c>
      <c r="H709" s="26">
        <v>42</v>
      </c>
      <c r="I709" s="24">
        <f t="shared" si="33"/>
        <v>46301</v>
      </c>
      <c r="J709" s="26">
        <f t="shared" ca="1" si="34"/>
        <v>-3</v>
      </c>
      <c r="K709" s="26">
        <f t="shared" ca="1" si="35"/>
        <v>3</v>
      </c>
      <c r="L709" s="27"/>
      <c r="M709" s="26" t="str">
        <f ca="1">IF(L709&lt;&gt;"","Entregado",IF(NOT(ISNUMBER(IF(Q709&lt;&gt;"",Q709,I709))),"REVISAR TE",IF(AND(ISNUMBER(Resumen!$B$3),IF(Q709&lt;&gt;"",Q709,I709)&lt;Resumen!$B$3),"REVISAR",IF(IF(Q709&lt;&gt;"",Q709,I709)&lt;TODAY(),"ATRASADO",IF(IF(Q709&lt;&gt;"",Q709,I709)-TODAY()&lt;=2,"POR VENCER","EN TIEMPO")))))</f>
        <v>ATRASADO</v>
      </c>
      <c r="N709" s="23" t="s">
        <v>94</v>
      </c>
      <c r="P709" s="23" t="s">
        <v>1360</v>
      </c>
      <c r="Q709" s="28"/>
    </row>
    <row r="710" spans="1:17" ht="16.5" x14ac:dyDescent="0.3">
      <c r="A710" s="23" t="s">
        <v>1364</v>
      </c>
      <c r="B710" s="23" t="s">
        <v>54</v>
      </c>
      <c r="C710" s="23" t="s">
        <v>1365</v>
      </c>
      <c r="D710" s="24">
        <v>46262</v>
      </c>
      <c r="E710" s="25">
        <v>1</v>
      </c>
      <c r="F710" s="24">
        <v>46262</v>
      </c>
      <c r="G710" s="23" t="s">
        <v>156</v>
      </c>
      <c r="H710" s="26">
        <v>21</v>
      </c>
      <c r="I710" s="24">
        <f t="shared" si="33"/>
        <v>46283</v>
      </c>
      <c r="J710" s="26">
        <f t="shared" ca="1" si="34"/>
        <v>-21</v>
      </c>
      <c r="K710" s="26">
        <f t="shared" ca="1" si="35"/>
        <v>21</v>
      </c>
      <c r="L710" s="27"/>
      <c r="M710" s="26" t="str">
        <f ca="1">IF(L710&lt;&gt;"","Entregado",IF(NOT(ISNUMBER(IF(Q710&lt;&gt;"",Q710,I710))),"REVISAR TE",IF(AND(ISNUMBER(Resumen!$B$3),IF(Q710&lt;&gt;"",Q710,I710)&lt;Resumen!$B$3),"REVISAR",IF(IF(Q710&lt;&gt;"",Q710,I710)&lt;TODAY(),"ATRASADO",IF(IF(Q710&lt;&gt;"",Q710,I710)-TODAY()&lt;=2,"POR VENCER","EN TIEMPO")))))</f>
        <v>ATRASADO</v>
      </c>
      <c r="N710" s="23" t="s">
        <v>216</v>
      </c>
      <c r="P710" s="23" t="s">
        <v>1366</v>
      </c>
      <c r="Q710" s="28"/>
    </row>
    <row r="711" spans="1:17" ht="16.5" x14ac:dyDescent="0.3">
      <c r="A711" s="23" t="s">
        <v>1367</v>
      </c>
      <c r="B711" s="23" t="s">
        <v>52</v>
      </c>
      <c r="C711" s="23" t="s">
        <v>1368</v>
      </c>
      <c r="D711" s="24">
        <v>46262</v>
      </c>
      <c r="E711" s="25">
        <v>19</v>
      </c>
      <c r="F711" s="24">
        <v>46262</v>
      </c>
      <c r="G711" s="23" t="s">
        <v>93</v>
      </c>
      <c r="H711" s="26">
        <v>28</v>
      </c>
      <c r="I711" s="24">
        <f t="shared" si="33"/>
        <v>46290</v>
      </c>
      <c r="J711" s="26">
        <f t="shared" ca="1" si="34"/>
        <v>-14</v>
      </c>
      <c r="K711" s="26">
        <f t="shared" ca="1" si="35"/>
        <v>14</v>
      </c>
      <c r="L711" s="27"/>
      <c r="M711" s="26" t="str">
        <f ca="1">IF(L711&lt;&gt;"","Entregado",IF(NOT(ISNUMBER(IF(Q711&lt;&gt;"",Q711,I711))),"REVISAR TE",IF(AND(ISNUMBER(Resumen!$B$3),IF(Q711&lt;&gt;"",Q711,I711)&lt;Resumen!$B$3),"REVISAR",IF(IF(Q711&lt;&gt;"",Q711,I711)&lt;TODAY(),"ATRASADO",IF(IF(Q711&lt;&gt;"",Q711,I711)-TODAY()&lt;=2,"POR VENCER","EN TIEMPO")))))</f>
        <v>ATRASADO</v>
      </c>
      <c r="N711" s="23" t="s">
        <v>94</v>
      </c>
      <c r="P711" s="23" t="s">
        <v>1369</v>
      </c>
      <c r="Q711" s="28"/>
    </row>
    <row r="712" spans="1:17" ht="16.5" x14ac:dyDescent="0.3">
      <c r="A712" s="23" t="s">
        <v>1370</v>
      </c>
      <c r="B712" s="23" t="s">
        <v>52</v>
      </c>
      <c r="C712" s="23" t="s">
        <v>1372</v>
      </c>
      <c r="D712" s="24">
        <v>46262</v>
      </c>
      <c r="E712" s="25">
        <v>4</v>
      </c>
      <c r="F712" s="24">
        <v>46262</v>
      </c>
      <c r="G712" s="23" t="s">
        <v>1371</v>
      </c>
      <c r="H712" s="26">
        <v>3</v>
      </c>
      <c r="I712" s="24">
        <f t="shared" si="33"/>
        <v>46265</v>
      </c>
      <c r="J712" s="26">
        <f t="shared" ca="1" si="34"/>
        <v>-39</v>
      </c>
      <c r="K712" s="26">
        <f t="shared" ca="1" si="35"/>
        <v>39</v>
      </c>
      <c r="L712" s="27"/>
      <c r="M712" s="26" t="str">
        <f ca="1">IF(L712&lt;&gt;"","Entregado",IF(NOT(ISNUMBER(IF(Q712&lt;&gt;"",Q712,I712))),"REVISAR TE",IF(AND(ISNUMBER(Resumen!$B$3),IF(Q712&lt;&gt;"",Q712,I712)&lt;Resumen!$B$3),"REVISAR",IF(IF(Q712&lt;&gt;"",Q712,I712)&lt;TODAY(),"ATRASADO",IF(IF(Q712&lt;&gt;"",Q712,I712)-TODAY()&lt;=2,"POR VENCER","EN TIEMPO")))))</f>
        <v>ATRASADO</v>
      </c>
      <c r="N712" s="23" t="s">
        <v>388</v>
      </c>
      <c r="P712" s="23" t="s">
        <v>1373</v>
      </c>
      <c r="Q712" s="28"/>
    </row>
    <row r="713" spans="1:17" ht="16.5" x14ac:dyDescent="0.3">
      <c r="A713" s="23" t="s">
        <v>1374</v>
      </c>
      <c r="B713" s="23" t="s">
        <v>52</v>
      </c>
      <c r="C713" s="23" t="s">
        <v>1375</v>
      </c>
      <c r="D713" s="24">
        <v>46262</v>
      </c>
      <c r="E713" s="25">
        <v>1</v>
      </c>
      <c r="F713" s="24">
        <v>46262</v>
      </c>
      <c r="G713" s="23" t="s">
        <v>196</v>
      </c>
      <c r="H713" s="26">
        <v>10</v>
      </c>
      <c r="I713" s="24">
        <f t="shared" ref="I713:I776" si="36">IF(AND(D713&lt;&gt;"",H713&lt;&gt;""),D713+H713,"")</f>
        <v>46272</v>
      </c>
      <c r="J713" s="26">
        <f t="shared" ca="1" si="34"/>
        <v>-32</v>
      </c>
      <c r="K713" s="26">
        <f t="shared" ca="1" si="35"/>
        <v>32</v>
      </c>
      <c r="L713" s="27"/>
      <c r="M713" s="26" t="str">
        <f ca="1">IF(L713&lt;&gt;"","Entregado",IF(NOT(ISNUMBER(IF(Q713&lt;&gt;"",Q713,I713))),"REVISAR TE",IF(AND(ISNUMBER(Resumen!$B$3),IF(Q713&lt;&gt;"",Q713,I713)&lt;Resumen!$B$3),"REVISAR",IF(IF(Q713&lt;&gt;"",Q713,I713)&lt;TODAY(),"ATRASADO",IF(IF(Q713&lt;&gt;"",Q713,I713)-TODAY()&lt;=2,"POR VENCER","EN TIEMPO")))))</f>
        <v>ATRASADO</v>
      </c>
      <c r="N713" s="23" t="s">
        <v>165</v>
      </c>
      <c r="P713" s="23" t="s">
        <v>1376</v>
      </c>
      <c r="Q713" s="28"/>
    </row>
    <row r="714" spans="1:17" ht="16.5" x14ac:dyDescent="0.3">
      <c r="A714" s="23" t="s">
        <v>1377</v>
      </c>
      <c r="B714" s="23" t="s">
        <v>52</v>
      </c>
      <c r="C714" s="23" t="s">
        <v>1378</v>
      </c>
      <c r="D714" s="24">
        <v>46263</v>
      </c>
      <c r="E714" s="25">
        <v>2</v>
      </c>
      <c r="F714" s="24">
        <v>46263</v>
      </c>
      <c r="G714" s="23" t="s">
        <v>192</v>
      </c>
      <c r="H714" s="26">
        <v>35</v>
      </c>
      <c r="I714" s="24">
        <f t="shared" si="36"/>
        <v>46298</v>
      </c>
      <c r="J714" s="26">
        <f t="shared" ca="1" si="34"/>
        <v>-6</v>
      </c>
      <c r="K714" s="26">
        <f t="shared" ca="1" si="35"/>
        <v>6</v>
      </c>
      <c r="L714" s="27"/>
      <c r="M714" s="26" t="str">
        <f ca="1">IF(L714&lt;&gt;"","Entregado",IF(NOT(ISNUMBER(IF(Q714&lt;&gt;"",Q714,I714))),"REVISAR TE",IF(AND(ISNUMBER(Resumen!$B$3),IF(Q714&lt;&gt;"",Q714,I714)&lt;Resumen!$B$3),"REVISAR",IF(IF(Q714&lt;&gt;"",Q714,I714)&lt;TODAY(),"ATRASADO",IF(IF(Q714&lt;&gt;"",Q714,I714)-TODAY()&lt;=2,"POR VENCER","EN TIEMPO")))))</f>
        <v>ATRASADO</v>
      </c>
      <c r="N714" s="23" t="s">
        <v>94</v>
      </c>
      <c r="P714" s="23" t="s">
        <v>1379</v>
      </c>
      <c r="Q714" s="28"/>
    </row>
    <row r="715" spans="1:17" ht="16.5" x14ac:dyDescent="0.3">
      <c r="A715" s="23" t="s">
        <v>1377</v>
      </c>
      <c r="B715" s="23" t="s">
        <v>52</v>
      </c>
      <c r="C715" s="23" t="s">
        <v>1380</v>
      </c>
      <c r="D715" s="24">
        <v>46263</v>
      </c>
      <c r="E715" s="25">
        <v>2</v>
      </c>
      <c r="F715" s="24">
        <v>46263</v>
      </c>
      <c r="G715" s="23" t="s">
        <v>192</v>
      </c>
      <c r="H715" s="26">
        <v>35</v>
      </c>
      <c r="I715" s="24">
        <f t="shared" si="36"/>
        <v>46298</v>
      </c>
      <c r="J715" s="26">
        <f t="shared" ca="1" si="34"/>
        <v>-6</v>
      </c>
      <c r="K715" s="26">
        <f t="shared" ca="1" si="35"/>
        <v>6</v>
      </c>
      <c r="L715" s="27"/>
      <c r="M715" s="26" t="str">
        <f ca="1">IF(L715&lt;&gt;"","Entregado",IF(NOT(ISNUMBER(IF(Q715&lt;&gt;"",Q715,I715))),"REVISAR TE",IF(AND(ISNUMBER(Resumen!$B$3),IF(Q715&lt;&gt;"",Q715,I715)&lt;Resumen!$B$3),"REVISAR",IF(IF(Q715&lt;&gt;"",Q715,I715)&lt;TODAY(),"ATRASADO",IF(IF(Q715&lt;&gt;"",Q715,I715)-TODAY()&lt;=2,"POR VENCER","EN TIEMPO")))))</f>
        <v>ATRASADO</v>
      </c>
      <c r="N715" s="23" t="s">
        <v>94</v>
      </c>
      <c r="P715" s="23" t="s">
        <v>1379</v>
      </c>
      <c r="Q715" s="28"/>
    </row>
    <row r="716" spans="1:17" ht="16.5" x14ac:dyDescent="0.3">
      <c r="A716" s="23" t="s">
        <v>1377</v>
      </c>
      <c r="B716" s="23" t="s">
        <v>52</v>
      </c>
      <c r="C716" s="23" t="s">
        <v>1381</v>
      </c>
      <c r="D716" s="24">
        <v>46263</v>
      </c>
      <c r="E716" s="25">
        <v>2</v>
      </c>
      <c r="F716" s="24">
        <v>46263</v>
      </c>
      <c r="G716" s="23" t="s">
        <v>192</v>
      </c>
      <c r="H716" s="26">
        <v>35</v>
      </c>
      <c r="I716" s="24">
        <f t="shared" si="36"/>
        <v>46298</v>
      </c>
      <c r="J716" s="26">
        <f t="shared" ca="1" si="34"/>
        <v>-6</v>
      </c>
      <c r="K716" s="26">
        <f t="shared" ca="1" si="35"/>
        <v>6</v>
      </c>
      <c r="L716" s="27"/>
      <c r="M716" s="26" t="str">
        <f ca="1">IF(L716&lt;&gt;"","Entregado",IF(NOT(ISNUMBER(IF(Q716&lt;&gt;"",Q716,I716))),"REVISAR TE",IF(AND(ISNUMBER(Resumen!$B$3),IF(Q716&lt;&gt;"",Q716,I716)&lt;Resumen!$B$3),"REVISAR",IF(IF(Q716&lt;&gt;"",Q716,I716)&lt;TODAY(),"ATRASADO",IF(IF(Q716&lt;&gt;"",Q716,I716)-TODAY()&lt;=2,"POR VENCER","EN TIEMPO")))))</f>
        <v>ATRASADO</v>
      </c>
      <c r="N716" s="23" t="s">
        <v>94</v>
      </c>
      <c r="P716" s="23" t="s">
        <v>1379</v>
      </c>
      <c r="Q716" s="28"/>
    </row>
    <row r="717" spans="1:17" ht="16.5" x14ac:dyDescent="0.3">
      <c r="A717" s="23" t="s">
        <v>1377</v>
      </c>
      <c r="B717" s="23" t="s">
        <v>52</v>
      </c>
      <c r="C717" s="23" t="s">
        <v>1382</v>
      </c>
      <c r="D717" s="24">
        <v>46263</v>
      </c>
      <c r="E717" s="25">
        <v>2</v>
      </c>
      <c r="F717" s="24">
        <v>46263</v>
      </c>
      <c r="G717" s="23" t="s">
        <v>192</v>
      </c>
      <c r="H717" s="26">
        <v>35</v>
      </c>
      <c r="I717" s="24">
        <f t="shared" si="36"/>
        <v>46298</v>
      </c>
      <c r="J717" s="26">
        <f t="shared" ca="1" si="34"/>
        <v>-6</v>
      </c>
      <c r="K717" s="26">
        <f t="shared" ca="1" si="35"/>
        <v>6</v>
      </c>
      <c r="L717" s="27"/>
      <c r="M717" s="26" t="str">
        <f ca="1">IF(L717&lt;&gt;"","Entregado",IF(NOT(ISNUMBER(IF(Q717&lt;&gt;"",Q717,I717))),"REVISAR TE",IF(AND(ISNUMBER(Resumen!$B$3),IF(Q717&lt;&gt;"",Q717,I717)&lt;Resumen!$B$3),"REVISAR",IF(IF(Q717&lt;&gt;"",Q717,I717)&lt;TODAY(),"ATRASADO",IF(IF(Q717&lt;&gt;"",Q717,I717)-TODAY()&lt;=2,"POR VENCER","EN TIEMPO")))))</f>
        <v>ATRASADO</v>
      </c>
      <c r="N717" s="23" t="s">
        <v>94</v>
      </c>
      <c r="P717" s="23" t="s">
        <v>1379</v>
      </c>
      <c r="Q717" s="28"/>
    </row>
    <row r="718" spans="1:17" ht="16.5" x14ac:dyDescent="0.3">
      <c r="A718" s="23" t="s">
        <v>1377</v>
      </c>
      <c r="B718" s="23" t="s">
        <v>52</v>
      </c>
      <c r="C718" s="23" t="s">
        <v>1383</v>
      </c>
      <c r="D718" s="24">
        <v>46263</v>
      </c>
      <c r="E718" s="25">
        <v>2</v>
      </c>
      <c r="F718" s="24">
        <v>46263</v>
      </c>
      <c r="G718" s="23" t="s">
        <v>192</v>
      </c>
      <c r="H718" s="26">
        <v>35</v>
      </c>
      <c r="I718" s="24">
        <f t="shared" si="36"/>
        <v>46298</v>
      </c>
      <c r="J718" s="26">
        <f t="shared" ca="1" si="34"/>
        <v>-6</v>
      </c>
      <c r="K718" s="26">
        <f t="shared" ca="1" si="35"/>
        <v>6</v>
      </c>
      <c r="L718" s="27"/>
      <c r="M718" s="26" t="str">
        <f ca="1">IF(L718&lt;&gt;"","Entregado",IF(NOT(ISNUMBER(IF(Q718&lt;&gt;"",Q718,I718))),"REVISAR TE",IF(AND(ISNUMBER(Resumen!$B$3),IF(Q718&lt;&gt;"",Q718,I718)&lt;Resumen!$B$3),"REVISAR",IF(IF(Q718&lt;&gt;"",Q718,I718)&lt;TODAY(),"ATRASADO",IF(IF(Q718&lt;&gt;"",Q718,I718)-TODAY()&lt;=2,"POR VENCER","EN TIEMPO")))))</f>
        <v>ATRASADO</v>
      </c>
      <c r="N718" s="23" t="s">
        <v>94</v>
      </c>
      <c r="P718" s="23" t="s">
        <v>1379</v>
      </c>
      <c r="Q718" s="28"/>
    </row>
    <row r="719" spans="1:17" ht="16.5" x14ac:dyDescent="0.3">
      <c r="A719" s="23" t="s">
        <v>1377</v>
      </c>
      <c r="B719" s="23" t="s">
        <v>52</v>
      </c>
      <c r="C719" s="23" t="s">
        <v>1384</v>
      </c>
      <c r="D719" s="24">
        <v>46263</v>
      </c>
      <c r="E719" s="25">
        <v>2</v>
      </c>
      <c r="F719" s="24">
        <v>46263</v>
      </c>
      <c r="G719" s="23" t="s">
        <v>192</v>
      </c>
      <c r="H719" s="26">
        <v>35</v>
      </c>
      <c r="I719" s="24">
        <f t="shared" si="36"/>
        <v>46298</v>
      </c>
      <c r="J719" s="26">
        <f t="shared" ca="1" si="34"/>
        <v>-6</v>
      </c>
      <c r="K719" s="26">
        <f t="shared" ca="1" si="35"/>
        <v>6</v>
      </c>
      <c r="L719" s="27"/>
      <c r="M719" s="26" t="str">
        <f ca="1">IF(L719&lt;&gt;"","Entregado",IF(NOT(ISNUMBER(IF(Q719&lt;&gt;"",Q719,I719))),"REVISAR TE",IF(AND(ISNUMBER(Resumen!$B$3),IF(Q719&lt;&gt;"",Q719,I719)&lt;Resumen!$B$3),"REVISAR",IF(IF(Q719&lt;&gt;"",Q719,I719)&lt;TODAY(),"ATRASADO",IF(IF(Q719&lt;&gt;"",Q719,I719)-TODAY()&lt;=2,"POR VENCER","EN TIEMPO")))))</f>
        <v>ATRASADO</v>
      </c>
      <c r="N719" s="23" t="s">
        <v>94</v>
      </c>
      <c r="P719" s="23" t="s">
        <v>1379</v>
      </c>
      <c r="Q719" s="28"/>
    </row>
    <row r="720" spans="1:17" ht="16.5" x14ac:dyDescent="0.3">
      <c r="A720" s="23" t="s">
        <v>1377</v>
      </c>
      <c r="B720" s="23" t="s">
        <v>52</v>
      </c>
      <c r="C720" s="23" t="s">
        <v>1385</v>
      </c>
      <c r="D720" s="24">
        <v>46263</v>
      </c>
      <c r="E720" s="25">
        <v>2</v>
      </c>
      <c r="F720" s="24">
        <v>46263</v>
      </c>
      <c r="G720" s="23" t="s">
        <v>192</v>
      </c>
      <c r="H720" s="26">
        <v>35</v>
      </c>
      <c r="I720" s="24">
        <f t="shared" si="36"/>
        <v>46298</v>
      </c>
      <c r="J720" s="26">
        <f t="shared" ca="1" si="34"/>
        <v>-6</v>
      </c>
      <c r="K720" s="26">
        <f t="shared" ca="1" si="35"/>
        <v>6</v>
      </c>
      <c r="L720" s="27"/>
      <c r="M720" s="26" t="str">
        <f ca="1">IF(L720&lt;&gt;"","Entregado",IF(NOT(ISNUMBER(IF(Q720&lt;&gt;"",Q720,I720))),"REVISAR TE",IF(AND(ISNUMBER(Resumen!$B$3),IF(Q720&lt;&gt;"",Q720,I720)&lt;Resumen!$B$3),"REVISAR",IF(IF(Q720&lt;&gt;"",Q720,I720)&lt;TODAY(),"ATRASADO",IF(IF(Q720&lt;&gt;"",Q720,I720)-TODAY()&lt;=2,"POR VENCER","EN TIEMPO")))))</f>
        <v>ATRASADO</v>
      </c>
      <c r="N720" s="23" t="s">
        <v>94</v>
      </c>
      <c r="P720" s="23" t="s">
        <v>1379</v>
      </c>
      <c r="Q720" s="28"/>
    </row>
    <row r="721" spans="1:17" ht="16.5" x14ac:dyDescent="0.3">
      <c r="A721" s="23" t="s">
        <v>1377</v>
      </c>
      <c r="B721" s="23" t="s">
        <v>52</v>
      </c>
      <c r="C721" s="23" t="s">
        <v>1386</v>
      </c>
      <c r="D721" s="24">
        <v>46263</v>
      </c>
      <c r="E721" s="25">
        <v>2</v>
      </c>
      <c r="F721" s="24">
        <v>46263</v>
      </c>
      <c r="G721" s="23" t="s">
        <v>192</v>
      </c>
      <c r="H721" s="26">
        <v>35</v>
      </c>
      <c r="I721" s="24">
        <f t="shared" si="36"/>
        <v>46298</v>
      </c>
      <c r="J721" s="26">
        <f t="shared" ca="1" si="34"/>
        <v>-6</v>
      </c>
      <c r="K721" s="26">
        <f t="shared" ca="1" si="35"/>
        <v>6</v>
      </c>
      <c r="L721" s="27"/>
      <c r="M721" s="26" t="str">
        <f ca="1">IF(L721&lt;&gt;"","Entregado",IF(NOT(ISNUMBER(IF(Q721&lt;&gt;"",Q721,I721))),"REVISAR TE",IF(AND(ISNUMBER(Resumen!$B$3),IF(Q721&lt;&gt;"",Q721,I721)&lt;Resumen!$B$3),"REVISAR",IF(IF(Q721&lt;&gt;"",Q721,I721)&lt;TODAY(),"ATRASADO",IF(IF(Q721&lt;&gt;"",Q721,I721)-TODAY()&lt;=2,"POR VENCER","EN TIEMPO")))))</f>
        <v>ATRASADO</v>
      </c>
      <c r="N721" s="23" t="s">
        <v>94</v>
      </c>
      <c r="P721" s="23" t="s">
        <v>1379</v>
      </c>
      <c r="Q721" s="28"/>
    </row>
    <row r="722" spans="1:17" ht="16.5" x14ac:dyDescent="0.3">
      <c r="A722" s="23" t="s">
        <v>1387</v>
      </c>
      <c r="B722" s="23" t="s">
        <v>52</v>
      </c>
      <c r="C722" s="23" t="s">
        <v>1388</v>
      </c>
      <c r="D722" s="24">
        <v>46263</v>
      </c>
      <c r="E722" s="25">
        <v>1</v>
      </c>
      <c r="F722" s="24">
        <v>46263</v>
      </c>
      <c r="G722" s="23" t="s">
        <v>180</v>
      </c>
      <c r="H722" s="26">
        <v>14</v>
      </c>
      <c r="I722" s="24">
        <f t="shared" si="36"/>
        <v>46277</v>
      </c>
      <c r="J722" s="26">
        <f t="shared" ca="1" si="34"/>
        <v>-27</v>
      </c>
      <c r="K722" s="26">
        <f t="shared" ca="1" si="35"/>
        <v>27</v>
      </c>
      <c r="L722" s="27"/>
      <c r="M722" s="26" t="str">
        <f ca="1">IF(L722&lt;&gt;"","Entregado",IF(NOT(ISNUMBER(IF(Q722&lt;&gt;"",Q722,I722))),"REVISAR TE",IF(AND(ISNUMBER(Resumen!$B$3),IF(Q722&lt;&gt;"",Q722,I722)&lt;Resumen!$B$3),"REVISAR",IF(IF(Q722&lt;&gt;"",Q722,I722)&lt;TODAY(),"ATRASADO",IF(IF(Q722&lt;&gt;"",Q722,I722)-TODAY()&lt;=2,"POR VENCER","EN TIEMPO")))))</f>
        <v>ATRASADO</v>
      </c>
      <c r="N722" s="23" t="s">
        <v>508</v>
      </c>
      <c r="P722" s="23" t="s">
        <v>1389</v>
      </c>
      <c r="Q722" s="28"/>
    </row>
    <row r="723" spans="1:17" ht="16.5" x14ac:dyDescent="0.3">
      <c r="A723" s="23" t="s">
        <v>1387</v>
      </c>
      <c r="B723" s="23" t="s">
        <v>52</v>
      </c>
      <c r="C723" s="23" t="s">
        <v>1390</v>
      </c>
      <c r="D723" s="24">
        <v>46263</v>
      </c>
      <c r="E723" s="25">
        <v>1</v>
      </c>
      <c r="F723" s="24">
        <v>46263</v>
      </c>
      <c r="G723" s="23" t="s">
        <v>180</v>
      </c>
      <c r="H723" s="26">
        <v>14</v>
      </c>
      <c r="I723" s="24">
        <f t="shared" si="36"/>
        <v>46277</v>
      </c>
      <c r="J723" s="26">
        <f t="shared" ca="1" si="34"/>
        <v>-27</v>
      </c>
      <c r="K723" s="26">
        <f t="shared" ca="1" si="35"/>
        <v>27</v>
      </c>
      <c r="L723" s="27"/>
      <c r="M723" s="26" t="str">
        <f ca="1">IF(L723&lt;&gt;"","Entregado",IF(NOT(ISNUMBER(IF(Q723&lt;&gt;"",Q723,I723))),"REVISAR TE",IF(AND(ISNUMBER(Resumen!$B$3),IF(Q723&lt;&gt;"",Q723,I723)&lt;Resumen!$B$3),"REVISAR",IF(IF(Q723&lt;&gt;"",Q723,I723)&lt;TODAY(),"ATRASADO",IF(IF(Q723&lt;&gt;"",Q723,I723)-TODAY()&lt;=2,"POR VENCER","EN TIEMPO")))))</f>
        <v>ATRASADO</v>
      </c>
      <c r="N723" s="23" t="s">
        <v>508</v>
      </c>
      <c r="P723" s="23" t="s">
        <v>1389</v>
      </c>
      <c r="Q723" s="28"/>
    </row>
    <row r="724" spans="1:17" ht="16.5" x14ac:dyDescent="0.3">
      <c r="A724" s="23" t="s">
        <v>1387</v>
      </c>
      <c r="B724" s="23" t="s">
        <v>52</v>
      </c>
      <c r="C724" s="23" t="s">
        <v>1391</v>
      </c>
      <c r="D724" s="24">
        <v>46263</v>
      </c>
      <c r="E724" s="25">
        <v>1</v>
      </c>
      <c r="F724" s="24">
        <v>46263</v>
      </c>
      <c r="G724" s="23" t="s">
        <v>180</v>
      </c>
      <c r="H724" s="26">
        <v>14</v>
      </c>
      <c r="I724" s="24">
        <f t="shared" si="36"/>
        <v>46277</v>
      </c>
      <c r="J724" s="26">
        <f t="shared" ca="1" si="34"/>
        <v>-27</v>
      </c>
      <c r="K724" s="26">
        <f t="shared" ca="1" si="35"/>
        <v>27</v>
      </c>
      <c r="L724" s="27"/>
      <c r="M724" s="26" t="str">
        <f ca="1">IF(L724&lt;&gt;"","Entregado",IF(NOT(ISNUMBER(IF(Q724&lt;&gt;"",Q724,I724))),"REVISAR TE",IF(AND(ISNUMBER(Resumen!$B$3),IF(Q724&lt;&gt;"",Q724,I724)&lt;Resumen!$B$3),"REVISAR",IF(IF(Q724&lt;&gt;"",Q724,I724)&lt;TODAY(),"ATRASADO",IF(IF(Q724&lt;&gt;"",Q724,I724)-TODAY()&lt;=2,"POR VENCER","EN TIEMPO")))))</f>
        <v>ATRASADO</v>
      </c>
      <c r="N724" s="23" t="s">
        <v>508</v>
      </c>
      <c r="P724" s="23" t="s">
        <v>1389</v>
      </c>
      <c r="Q724" s="28"/>
    </row>
    <row r="725" spans="1:17" ht="16.5" x14ac:dyDescent="0.3">
      <c r="A725" s="23" t="s">
        <v>1392</v>
      </c>
      <c r="B725" s="23" t="s">
        <v>52</v>
      </c>
      <c r="C725" s="23" t="s">
        <v>1393</v>
      </c>
      <c r="D725" s="24">
        <v>46263</v>
      </c>
      <c r="E725" s="25">
        <v>1</v>
      </c>
      <c r="F725" s="24">
        <v>46263</v>
      </c>
      <c r="G725" s="23" t="s">
        <v>180</v>
      </c>
      <c r="H725" s="26">
        <v>14</v>
      </c>
      <c r="I725" s="24">
        <f t="shared" si="36"/>
        <v>46277</v>
      </c>
      <c r="J725" s="26">
        <f t="shared" ca="1" si="34"/>
        <v>-27</v>
      </c>
      <c r="K725" s="26">
        <f t="shared" ca="1" si="35"/>
        <v>27</v>
      </c>
      <c r="L725" s="27"/>
      <c r="M725" s="26" t="str">
        <f ca="1">IF(L725&lt;&gt;"","Entregado",IF(NOT(ISNUMBER(IF(Q725&lt;&gt;"",Q725,I725))),"REVISAR TE",IF(AND(ISNUMBER(Resumen!$B$3),IF(Q725&lt;&gt;"",Q725,I725)&lt;Resumen!$B$3),"REVISAR",IF(IF(Q725&lt;&gt;"",Q725,I725)&lt;TODAY(),"ATRASADO",IF(IF(Q725&lt;&gt;"",Q725,I725)-TODAY()&lt;=2,"POR VENCER","EN TIEMPO")))))</f>
        <v>ATRASADO</v>
      </c>
      <c r="N725" s="23" t="s">
        <v>508</v>
      </c>
      <c r="P725" s="23" t="s">
        <v>1394</v>
      </c>
      <c r="Q725" s="28"/>
    </row>
    <row r="726" spans="1:17" ht="16.5" x14ac:dyDescent="0.3">
      <c r="A726" s="23" t="s">
        <v>1395</v>
      </c>
      <c r="B726" s="23" t="s">
        <v>55</v>
      </c>
      <c r="C726" s="23" t="s">
        <v>1396</v>
      </c>
      <c r="D726" s="24">
        <v>46263</v>
      </c>
      <c r="E726" s="25">
        <v>4</v>
      </c>
      <c r="F726" s="24">
        <v>46263</v>
      </c>
      <c r="G726" s="23" t="s">
        <v>180</v>
      </c>
      <c r="H726" s="26">
        <v>14</v>
      </c>
      <c r="I726" s="24">
        <f t="shared" si="36"/>
        <v>46277</v>
      </c>
      <c r="J726" s="26">
        <f t="shared" ca="1" si="34"/>
        <v>-27</v>
      </c>
      <c r="K726" s="26">
        <f t="shared" ca="1" si="35"/>
        <v>27</v>
      </c>
      <c r="L726" s="27"/>
      <c r="M726" s="26" t="str">
        <f ca="1">IF(L726&lt;&gt;"","Entregado",IF(NOT(ISNUMBER(IF(Q726&lt;&gt;"",Q726,I726))),"REVISAR TE",IF(AND(ISNUMBER(Resumen!$B$3),IF(Q726&lt;&gt;"",Q726,I726)&lt;Resumen!$B$3),"REVISAR",IF(IF(Q726&lt;&gt;"",Q726,I726)&lt;TODAY(),"ATRASADO",IF(IF(Q726&lt;&gt;"",Q726,I726)-TODAY()&lt;=2,"POR VENCER","EN TIEMPO")))))</f>
        <v>ATRASADO</v>
      </c>
      <c r="N726" s="23" t="s">
        <v>98</v>
      </c>
      <c r="P726" s="23" t="s">
        <v>1397</v>
      </c>
      <c r="Q726" s="28"/>
    </row>
    <row r="727" spans="1:17" ht="16.5" x14ac:dyDescent="0.3">
      <c r="A727" s="23" t="s">
        <v>1395</v>
      </c>
      <c r="B727" s="23" t="s">
        <v>55</v>
      </c>
      <c r="C727" s="23" t="s">
        <v>1398</v>
      </c>
      <c r="D727" s="24">
        <v>46263</v>
      </c>
      <c r="E727" s="25">
        <v>1</v>
      </c>
      <c r="F727" s="24">
        <v>46263</v>
      </c>
      <c r="G727" s="23" t="s">
        <v>180</v>
      </c>
      <c r="H727" s="26">
        <v>14</v>
      </c>
      <c r="I727" s="24">
        <f t="shared" si="36"/>
        <v>46277</v>
      </c>
      <c r="J727" s="26">
        <f t="shared" ca="1" si="34"/>
        <v>-27</v>
      </c>
      <c r="K727" s="26">
        <f t="shared" ca="1" si="35"/>
        <v>27</v>
      </c>
      <c r="L727" s="27"/>
      <c r="M727" s="26" t="str">
        <f ca="1">IF(L727&lt;&gt;"","Entregado",IF(NOT(ISNUMBER(IF(Q727&lt;&gt;"",Q727,I727))),"REVISAR TE",IF(AND(ISNUMBER(Resumen!$B$3),IF(Q727&lt;&gt;"",Q727,I727)&lt;Resumen!$B$3),"REVISAR",IF(IF(Q727&lt;&gt;"",Q727,I727)&lt;TODAY(),"ATRASADO",IF(IF(Q727&lt;&gt;"",Q727,I727)-TODAY()&lt;=2,"POR VENCER","EN TIEMPO")))))</f>
        <v>ATRASADO</v>
      </c>
      <c r="N727" s="23" t="s">
        <v>245</v>
      </c>
      <c r="P727" s="23" t="s">
        <v>1397</v>
      </c>
      <c r="Q727" s="28"/>
    </row>
    <row r="728" spans="1:17" ht="16.5" x14ac:dyDescent="0.3">
      <c r="A728" s="23" t="s">
        <v>1395</v>
      </c>
      <c r="B728" s="23" t="s">
        <v>55</v>
      </c>
      <c r="C728" s="23" t="s">
        <v>1399</v>
      </c>
      <c r="D728" s="24">
        <v>46263</v>
      </c>
      <c r="E728" s="25">
        <v>4</v>
      </c>
      <c r="F728" s="24">
        <v>46263</v>
      </c>
      <c r="G728" s="23" t="s">
        <v>180</v>
      </c>
      <c r="H728" s="26">
        <v>14</v>
      </c>
      <c r="I728" s="24">
        <f t="shared" si="36"/>
        <v>46277</v>
      </c>
      <c r="J728" s="26">
        <f t="shared" ca="1" si="34"/>
        <v>-27</v>
      </c>
      <c r="K728" s="26">
        <f t="shared" ca="1" si="35"/>
        <v>27</v>
      </c>
      <c r="L728" s="27"/>
      <c r="M728" s="26" t="str">
        <f ca="1">IF(L728&lt;&gt;"","Entregado",IF(NOT(ISNUMBER(IF(Q728&lt;&gt;"",Q728,I728))),"REVISAR TE",IF(AND(ISNUMBER(Resumen!$B$3),IF(Q728&lt;&gt;"",Q728,I728)&lt;Resumen!$B$3),"REVISAR",IF(IF(Q728&lt;&gt;"",Q728,I728)&lt;TODAY(),"ATRASADO",IF(IF(Q728&lt;&gt;"",Q728,I728)-TODAY()&lt;=2,"POR VENCER","EN TIEMPO")))))</f>
        <v>ATRASADO</v>
      </c>
      <c r="N728" s="23" t="s">
        <v>98</v>
      </c>
      <c r="P728" s="23" t="s">
        <v>1397</v>
      </c>
      <c r="Q728" s="28"/>
    </row>
    <row r="729" spans="1:17" ht="16.5" x14ac:dyDescent="0.3">
      <c r="A729" s="23" t="s">
        <v>1395</v>
      </c>
      <c r="B729" s="23" t="s">
        <v>55</v>
      </c>
      <c r="C729" s="23" t="s">
        <v>1400</v>
      </c>
      <c r="D729" s="24">
        <v>46263</v>
      </c>
      <c r="E729" s="25">
        <v>1</v>
      </c>
      <c r="F729" s="24">
        <v>46263</v>
      </c>
      <c r="G729" s="23" t="s">
        <v>180</v>
      </c>
      <c r="H729" s="26">
        <v>14</v>
      </c>
      <c r="I729" s="24">
        <f t="shared" si="36"/>
        <v>46277</v>
      </c>
      <c r="J729" s="26">
        <f t="shared" ca="1" si="34"/>
        <v>-27</v>
      </c>
      <c r="K729" s="26">
        <f t="shared" ca="1" si="35"/>
        <v>27</v>
      </c>
      <c r="L729" s="27"/>
      <c r="M729" s="26" t="str">
        <f ca="1">IF(L729&lt;&gt;"","Entregado",IF(NOT(ISNUMBER(IF(Q729&lt;&gt;"",Q729,I729))),"REVISAR TE",IF(AND(ISNUMBER(Resumen!$B$3),IF(Q729&lt;&gt;"",Q729,I729)&lt;Resumen!$B$3),"REVISAR",IF(IF(Q729&lt;&gt;"",Q729,I729)&lt;TODAY(),"ATRASADO",IF(IF(Q729&lt;&gt;"",Q729,I729)-TODAY()&lt;=2,"POR VENCER","EN TIEMPO")))))</f>
        <v>ATRASADO</v>
      </c>
      <c r="N729" s="23" t="s">
        <v>245</v>
      </c>
      <c r="P729" s="23" t="s">
        <v>1397</v>
      </c>
      <c r="Q729" s="28"/>
    </row>
    <row r="730" spans="1:17" ht="16.5" x14ac:dyDescent="0.3">
      <c r="A730" s="23" t="s">
        <v>1395</v>
      </c>
      <c r="B730" s="23" t="s">
        <v>55</v>
      </c>
      <c r="C730" s="23" t="s">
        <v>1401</v>
      </c>
      <c r="D730" s="24">
        <v>46263</v>
      </c>
      <c r="E730" s="25">
        <v>4</v>
      </c>
      <c r="F730" s="24">
        <v>46263</v>
      </c>
      <c r="G730" s="23" t="s">
        <v>180</v>
      </c>
      <c r="H730" s="26">
        <v>14</v>
      </c>
      <c r="I730" s="24">
        <f t="shared" si="36"/>
        <v>46277</v>
      </c>
      <c r="J730" s="26">
        <f t="shared" ca="1" si="34"/>
        <v>-27</v>
      </c>
      <c r="K730" s="26">
        <f t="shared" ca="1" si="35"/>
        <v>27</v>
      </c>
      <c r="L730" s="27"/>
      <c r="M730" s="26" t="str">
        <f ca="1">IF(L730&lt;&gt;"","Entregado",IF(NOT(ISNUMBER(IF(Q730&lt;&gt;"",Q730,I730))),"REVISAR TE",IF(AND(ISNUMBER(Resumen!$B$3),IF(Q730&lt;&gt;"",Q730,I730)&lt;Resumen!$B$3),"REVISAR",IF(IF(Q730&lt;&gt;"",Q730,I730)&lt;TODAY(),"ATRASADO",IF(IF(Q730&lt;&gt;"",Q730,I730)-TODAY()&lt;=2,"POR VENCER","EN TIEMPO")))))</f>
        <v>ATRASADO</v>
      </c>
      <c r="N730" s="23" t="s">
        <v>98</v>
      </c>
      <c r="P730" s="23" t="s">
        <v>1397</v>
      </c>
      <c r="Q730" s="28"/>
    </row>
    <row r="731" spans="1:17" ht="16.5" x14ac:dyDescent="0.3">
      <c r="A731" s="23" t="s">
        <v>1395</v>
      </c>
      <c r="B731" s="23" t="s">
        <v>55</v>
      </c>
      <c r="C731" s="23" t="s">
        <v>1402</v>
      </c>
      <c r="D731" s="24">
        <v>46263</v>
      </c>
      <c r="E731" s="25">
        <v>1</v>
      </c>
      <c r="F731" s="24">
        <v>46263</v>
      </c>
      <c r="G731" s="23" t="s">
        <v>180</v>
      </c>
      <c r="H731" s="26">
        <v>14</v>
      </c>
      <c r="I731" s="24">
        <f t="shared" si="36"/>
        <v>46277</v>
      </c>
      <c r="J731" s="26">
        <f t="shared" ca="1" si="34"/>
        <v>-27</v>
      </c>
      <c r="K731" s="26">
        <f t="shared" ca="1" si="35"/>
        <v>27</v>
      </c>
      <c r="L731" s="27"/>
      <c r="M731" s="26" t="str">
        <f ca="1">IF(L731&lt;&gt;"","Entregado",IF(NOT(ISNUMBER(IF(Q731&lt;&gt;"",Q731,I731))),"REVISAR TE",IF(AND(ISNUMBER(Resumen!$B$3),IF(Q731&lt;&gt;"",Q731,I731)&lt;Resumen!$B$3),"REVISAR",IF(IF(Q731&lt;&gt;"",Q731,I731)&lt;TODAY(),"ATRASADO",IF(IF(Q731&lt;&gt;"",Q731,I731)-TODAY()&lt;=2,"POR VENCER","EN TIEMPO")))))</f>
        <v>ATRASADO</v>
      </c>
      <c r="N731" s="23" t="s">
        <v>245</v>
      </c>
      <c r="P731" s="23" t="s">
        <v>1397</v>
      </c>
      <c r="Q731" s="28"/>
    </row>
    <row r="732" spans="1:17" ht="16.5" x14ac:dyDescent="0.3">
      <c r="A732" s="23" t="s">
        <v>1403</v>
      </c>
      <c r="B732" s="23" t="s">
        <v>54</v>
      </c>
      <c r="C732" s="23" t="s">
        <v>1404</v>
      </c>
      <c r="D732" s="24">
        <v>46266</v>
      </c>
      <c r="E732" s="25">
        <v>5</v>
      </c>
      <c r="F732" s="24">
        <v>46266</v>
      </c>
      <c r="G732" s="23" t="s">
        <v>192</v>
      </c>
      <c r="H732" s="26">
        <v>35</v>
      </c>
      <c r="I732" s="24">
        <f t="shared" si="36"/>
        <v>46301</v>
      </c>
      <c r="J732" s="26">
        <f t="shared" ca="1" si="34"/>
        <v>-3</v>
      </c>
      <c r="K732" s="26">
        <f t="shared" ca="1" si="35"/>
        <v>3</v>
      </c>
      <c r="L732" s="27"/>
      <c r="M732" s="26" t="str">
        <f ca="1">IF(L732&lt;&gt;"","Entregado",IF(NOT(ISNUMBER(IF(Q732&lt;&gt;"",Q732,I732))),"REVISAR TE",IF(AND(ISNUMBER(Resumen!$B$3),IF(Q732&lt;&gt;"",Q732,I732)&lt;Resumen!$B$3),"REVISAR",IF(IF(Q732&lt;&gt;"",Q732,I732)&lt;TODAY(),"ATRASADO",IF(IF(Q732&lt;&gt;"",Q732,I732)-TODAY()&lt;=2,"POR VENCER","EN TIEMPO")))))</f>
        <v>ATRASADO</v>
      </c>
      <c r="N732" s="23" t="s">
        <v>94</v>
      </c>
      <c r="P732" s="23" t="s">
        <v>1405</v>
      </c>
      <c r="Q732" s="28"/>
    </row>
    <row r="733" spans="1:17" ht="16.5" x14ac:dyDescent="0.3">
      <c r="A733" s="23" t="s">
        <v>1403</v>
      </c>
      <c r="B733" s="23" t="s">
        <v>54</v>
      </c>
      <c r="C733" s="23" t="s">
        <v>1406</v>
      </c>
      <c r="D733" s="24">
        <v>46266</v>
      </c>
      <c r="E733" s="25">
        <v>5</v>
      </c>
      <c r="F733" s="24">
        <v>46266</v>
      </c>
      <c r="G733" s="23" t="s">
        <v>192</v>
      </c>
      <c r="H733" s="26">
        <v>35</v>
      </c>
      <c r="I733" s="24">
        <f t="shared" si="36"/>
        <v>46301</v>
      </c>
      <c r="J733" s="26">
        <f t="shared" ca="1" si="34"/>
        <v>-3</v>
      </c>
      <c r="K733" s="26">
        <f t="shared" ca="1" si="35"/>
        <v>3</v>
      </c>
      <c r="L733" s="27"/>
      <c r="M733" s="26" t="str">
        <f ca="1">IF(L733&lt;&gt;"","Entregado",IF(NOT(ISNUMBER(IF(Q733&lt;&gt;"",Q733,I733))),"REVISAR TE",IF(AND(ISNUMBER(Resumen!$B$3),IF(Q733&lt;&gt;"",Q733,I733)&lt;Resumen!$B$3),"REVISAR",IF(IF(Q733&lt;&gt;"",Q733,I733)&lt;TODAY(),"ATRASADO",IF(IF(Q733&lt;&gt;"",Q733,I733)-TODAY()&lt;=2,"POR VENCER","EN TIEMPO")))))</f>
        <v>ATRASADO</v>
      </c>
      <c r="N733" s="23" t="s">
        <v>94</v>
      </c>
      <c r="P733" s="23" t="s">
        <v>1405</v>
      </c>
      <c r="Q733" s="28"/>
    </row>
    <row r="734" spans="1:17" ht="16.5" x14ac:dyDescent="0.3">
      <c r="A734" s="23" t="s">
        <v>1403</v>
      </c>
      <c r="B734" s="23" t="s">
        <v>54</v>
      </c>
      <c r="C734" s="23" t="s">
        <v>1407</v>
      </c>
      <c r="D734" s="24">
        <v>46266</v>
      </c>
      <c r="E734" s="25">
        <v>5</v>
      </c>
      <c r="F734" s="24">
        <v>46266</v>
      </c>
      <c r="G734" s="23" t="s">
        <v>192</v>
      </c>
      <c r="H734" s="26">
        <v>35</v>
      </c>
      <c r="I734" s="24">
        <f t="shared" si="36"/>
        <v>46301</v>
      </c>
      <c r="J734" s="26">
        <f t="shared" ca="1" si="34"/>
        <v>-3</v>
      </c>
      <c r="K734" s="26">
        <f t="shared" ca="1" si="35"/>
        <v>3</v>
      </c>
      <c r="L734" s="27"/>
      <c r="M734" s="26" t="str">
        <f ca="1">IF(L734&lt;&gt;"","Entregado",IF(NOT(ISNUMBER(IF(Q734&lt;&gt;"",Q734,I734))),"REVISAR TE",IF(AND(ISNUMBER(Resumen!$B$3),IF(Q734&lt;&gt;"",Q734,I734)&lt;Resumen!$B$3),"REVISAR",IF(IF(Q734&lt;&gt;"",Q734,I734)&lt;TODAY(),"ATRASADO",IF(IF(Q734&lt;&gt;"",Q734,I734)-TODAY()&lt;=2,"POR VENCER","EN TIEMPO")))))</f>
        <v>ATRASADO</v>
      </c>
      <c r="N734" s="23" t="s">
        <v>94</v>
      </c>
      <c r="P734" s="23" t="s">
        <v>1405</v>
      </c>
      <c r="Q734" s="28"/>
    </row>
    <row r="735" spans="1:17" ht="16.5" x14ac:dyDescent="0.3">
      <c r="A735" s="23" t="s">
        <v>1403</v>
      </c>
      <c r="B735" s="23" t="s">
        <v>54</v>
      </c>
      <c r="C735" s="23" t="s">
        <v>1408</v>
      </c>
      <c r="D735" s="24">
        <v>46266</v>
      </c>
      <c r="E735" s="25">
        <v>5</v>
      </c>
      <c r="F735" s="24">
        <v>46266</v>
      </c>
      <c r="G735" s="23" t="s">
        <v>192</v>
      </c>
      <c r="H735" s="26">
        <v>35</v>
      </c>
      <c r="I735" s="24">
        <f t="shared" si="36"/>
        <v>46301</v>
      </c>
      <c r="J735" s="26">
        <f t="shared" ca="1" si="34"/>
        <v>-3</v>
      </c>
      <c r="K735" s="26">
        <f t="shared" ca="1" si="35"/>
        <v>3</v>
      </c>
      <c r="L735" s="27"/>
      <c r="M735" s="26" t="str">
        <f ca="1">IF(L735&lt;&gt;"","Entregado",IF(NOT(ISNUMBER(IF(Q735&lt;&gt;"",Q735,I735))),"REVISAR TE",IF(AND(ISNUMBER(Resumen!$B$3),IF(Q735&lt;&gt;"",Q735,I735)&lt;Resumen!$B$3),"REVISAR",IF(IF(Q735&lt;&gt;"",Q735,I735)&lt;TODAY(),"ATRASADO",IF(IF(Q735&lt;&gt;"",Q735,I735)-TODAY()&lt;=2,"POR VENCER","EN TIEMPO")))))</f>
        <v>ATRASADO</v>
      </c>
      <c r="N735" s="23" t="s">
        <v>94</v>
      </c>
      <c r="P735" s="23" t="s">
        <v>1405</v>
      </c>
      <c r="Q735" s="28"/>
    </row>
    <row r="736" spans="1:17" ht="16.5" x14ac:dyDescent="0.3">
      <c r="A736" s="23" t="s">
        <v>1403</v>
      </c>
      <c r="B736" s="23" t="s">
        <v>54</v>
      </c>
      <c r="C736" s="23" t="s">
        <v>1409</v>
      </c>
      <c r="D736" s="24">
        <v>46266</v>
      </c>
      <c r="E736" s="25">
        <v>5</v>
      </c>
      <c r="F736" s="24">
        <v>46266</v>
      </c>
      <c r="G736" s="23" t="s">
        <v>192</v>
      </c>
      <c r="H736" s="26">
        <v>35</v>
      </c>
      <c r="I736" s="24">
        <f t="shared" si="36"/>
        <v>46301</v>
      </c>
      <c r="J736" s="26">
        <f t="shared" ca="1" si="34"/>
        <v>-3</v>
      </c>
      <c r="K736" s="26">
        <f t="shared" ca="1" si="35"/>
        <v>3</v>
      </c>
      <c r="L736" s="27"/>
      <c r="M736" s="26" t="str">
        <f ca="1">IF(L736&lt;&gt;"","Entregado",IF(NOT(ISNUMBER(IF(Q736&lt;&gt;"",Q736,I736))),"REVISAR TE",IF(AND(ISNUMBER(Resumen!$B$3),IF(Q736&lt;&gt;"",Q736,I736)&lt;Resumen!$B$3),"REVISAR",IF(IF(Q736&lt;&gt;"",Q736,I736)&lt;TODAY(),"ATRASADO",IF(IF(Q736&lt;&gt;"",Q736,I736)-TODAY()&lt;=2,"POR VENCER","EN TIEMPO")))))</f>
        <v>ATRASADO</v>
      </c>
      <c r="N736" s="23" t="s">
        <v>94</v>
      </c>
      <c r="P736" s="23" t="s">
        <v>1405</v>
      </c>
      <c r="Q736" s="28"/>
    </row>
    <row r="737" spans="1:17" ht="16.5" x14ac:dyDescent="0.3">
      <c r="A737" s="23" t="s">
        <v>1403</v>
      </c>
      <c r="B737" s="23" t="s">
        <v>54</v>
      </c>
      <c r="C737" s="23" t="s">
        <v>1410</v>
      </c>
      <c r="D737" s="24">
        <v>46266</v>
      </c>
      <c r="E737" s="25">
        <v>5</v>
      </c>
      <c r="F737" s="24">
        <v>46266</v>
      </c>
      <c r="G737" s="23" t="s">
        <v>192</v>
      </c>
      <c r="H737" s="26">
        <v>35</v>
      </c>
      <c r="I737" s="24">
        <f t="shared" si="36"/>
        <v>46301</v>
      </c>
      <c r="J737" s="26">
        <f t="shared" ca="1" si="34"/>
        <v>-3</v>
      </c>
      <c r="K737" s="26">
        <f t="shared" ca="1" si="35"/>
        <v>3</v>
      </c>
      <c r="L737" s="27"/>
      <c r="M737" s="26" t="str">
        <f ca="1">IF(L737&lt;&gt;"","Entregado",IF(NOT(ISNUMBER(IF(Q737&lt;&gt;"",Q737,I737))),"REVISAR TE",IF(AND(ISNUMBER(Resumen!$B$3),IF(Q737&lt;&gt;"",Q737,I737)&lt;Resumen!$B$3),"REVISAR",IF(IF(Q737&lt;&gt;"",Q737,I737)&lt;TODAY(),"ATRASADO",IF(IF(Q737&lt;&gt;"",Q737,I737)-TODAY()&lt;=2,"POR VENCER","EN TIEMPO")))))</f>
        <v>ATRASADO</v>
      </c>
      <c r="N737" s="23" t="s">
        <v>94</v>
      </c>
      <c r="P737" s="23" t="s">
        <v>1405</v>
      </c>
      <c r="Q737" s="28"/>
    </row>
    <row r="738" spans="1:17" ht="16.5" x14ac:dyDescent="0.3">
      <c r="A738" s="23" t="s">
        <v>1403</v>
      </c>
      <c r="B738" s="23" t="s">
        <v>54</v>
      </c>
      <c r="C738" s="23" t="s">
        <v>1411</v>
      </c>
      <c r="D738" s="24">
        <v>46266</v>
      </c>
      <c r="E738" s="25">
        <v>5</v>
      </c>
      <c r="F738" s="24">
        <v>46266</v>
      </c>
      <c r="G738" s="23" t="s">
        <v>192</v>
      </c>
      <c r="H738" s="26">
        <v>35</v>
      </c>
      <c r="I738" s="24">
        <f t="shared" si="36"/>
        <v>46301</v>
      </c>
      <c r="J738" s="26">
        <f t="shared" ca="1" si="34"/>
        <v>-3</v>
      </c>
      <c r="K738" s="26">
        <f t="shared" ca="1" si="35"/>
        <v>3</v>
      </c>
      <c r="L738" s="27"/>
      <c r="M738" s="26" t="str">
        <f ca="1">IF(L738&lt;&gt;"","Entregado",IF(NOT(ISNUMBER(IF(Q738&lt;&gt;"",Q738,I738))),"REVISAR TE",IF(AND(ISNUMBER(Resumen!$B$3),IF(Q738&lt;&gt;"",Q738,I738)&lt;Resumen!$B$3),"REVISAR",IF(IF(Q738&lt;&gt;"",Q738,I738)&lt;TODAY(),"ATRASADO",IF(IF(Q738&lt;&gt;"",Q738,I738)-TODAY()&lt;=2,"POR VENCER","EN TIEMPO")))))</f>
        <v>ATRASADO</v>
      </c>
      <c r="N738" s="23" t="s">
        <v>94</v>
      </c>
      <c r="P738" s="23" t="s">
        <v>1405</v>
      </c>
      <c r="Q738" s="28"/>
    </row>
    <row r="739" spans="1:17" ht="16.5" x14ac:dyDescent="0.3">
      <c r="A739" s="23" t="s">
        <v>1403</v>
      </c>
      <c r="B739" s="23" t="s">
        <v>54</v>
      </c>
      <c r="C739" s="23" t="s">
        <v>1412</v>
      </c>
      <c r="D739" s="24">
        <v>46266</v>
      </c>
      <c r="E739" s="25">
        <v>5</v>
      </c>
      <c r="F739" s="24">
        <v>46266</v>
      </c>
      <c r="G739" s="23" t="s">
        <v>192</v>
      </c>
      <c r="H739" s="26">
        <v>35</v>
      </c>
      <c r="I739" s="24">
        <f t="shared" si="36"/>
        <v>46301</v>
      </c>
      <c r="J739" s="26">
        <f t="shared" ca="1" si="34"/>
        <v>-3</v>
      </c>
      <c r="K739" s="26">
        <f t="shared" ca="1" si="35"/>
        <v>3</v>
      </c>
      <c r="L739" s="27"/>
      <c r="M739" s="26" t="str">
        <f ca="1">IF(L739&lt;&gt;"","Entregado",IF(NOT(ISNUMBER(IF(Q739&lt;&gt;"",Q739,I739))),"REVISAR TE",IF(AND(ISNUMBER(Resumen!$B$3),IF(Q739&lt;&gt;"",Q739,I739)&lt;Resumen!$B$3),"REVISAR",IF(IF(Q739&lt;&gt;"",Q739,I739)&lt;TODAY(),"ATRASADO",IF(IF(Q739&lt;&gt;"",Q739,I739)-TODAY()&lt;=2,"POR VENCER","EN TIEMPO")))))</f>
        <v>ATRASADO</v>
      </c>
      <c r="N739" s="23" t="s">
        <v>94</v>
      </c>
      <c r="P739" s="23" t="s">
        <v>1405</v>
      </c>
      <c r="Q739" s="28"/>
    </row>
    <row r="740" spans="1:17" ht="16.5" x14ac:dyDescent="0.3">
      <c r="A740" s="23" t="s">
        <v>1413</v>
      </c>
      <c r="B740" s="23" t="s">
        <v>54</v>
      </c>
      <c r="C740" s="23" t="s">
        <v>1414</v>
      </c>
      <c r="D740" s="24">
        <v>46267</v>
      </c>
      <c r="E740" s="25">
        <v>1</v>
      </c>
      <c r="F740" s="24">
        <v>46267</v>
      </c>
      <c r="G740" s="23" t="s">
        <v>180</v>
      </c>
      <c r="H740" s="26">
        <v>14</v>
      </c>
      <c r="I740" s="24">
        <f t="shared" si="36"/>
        <v>46281</v>
      </c>
      <c r="J740" s="26">
        <f t="shared" ca="1" si="34"/>
        <v>-23</v>
      </c>
      <c r="K740" s="26">
        <f t="shared" ca="1" si="35"/>
        <v>23</v>
      </c>
      <c r="L740" s="27"/>
      <c r="M740" s="26" t="str">
        <f ca="1">IF(L740&lt;&gt;"","Entregado",IF(NOT(ISNUMBER(IF(Q740&lt;&gt;"",Q740,I740))),"REVISAR TE",IF(AND(ISNUMBER(Resumen!$B$3),IF(Q740&lt;&gt;"",Q740,I740)&lt;Resumen!$B$3),"REVISAR",IF(IF(Q740&lt;&gt;"",Q740,I740)&lt;TODAY(),"ATRASADO",IF(IF(Q740&lt;&gt;"",Q740,I740)-TODAY()&lt;=2,"POR VENCER","EN TIEMPO")))))</f>
        <v>ATRASADO</v>
      </c>
      <c r="N740" s="23" t="s">
        <v>216</v>
      </c>
      <c r="P740" s="23" t="s">
        <v>1415</v>
      </c>
      <c r="Q740" s="28"/>
    </row>
    <row r="741" spans="1:17" ht="16.5" x14ac:dyDescent="0.3">
      <c r="A741" s="23" t="s">
        <v>1413</v>
      </c>
      <c r="B741" s="23" t="s">
        <v>54</v>
      </c>
      <c r="C741" s="23" t="s">
        <v>1416</v>
      </c>
      <c r="D741" s="24">
        <v>46267</v>
      </c>
      <c r="E741" s="25">
        <v>1</v>
      </c>
      <c r="F741" s="24">
        <v>46267</v>
      </c>
      <c r="G741" s="23" t="s">
        <v>180</v>
      </c>
      <c r="H741" s="26">
        <v>14</v>
      </c>
      <c r="I741" s="24">
        <f t="shared" si="36"/>
        <v>46281</v>
      </c>
      <c r="J741" s="26">
        <f t="shared" ca="1" si="34"/>
        <v>-23</v>
      </c>
      <c r="K741" s="26">
        <f t="shared" ca="1" si="35"/>
        <v>23</v>
      </c>
      <c r="L741" s="27"/>
      <c r="M741" s="26" t="str">
        <f ca="1">IF(L741&lt;&gt;"","Entregado",IF(NOT(ISNUMBER(IF(Q741&lt;&gt;"",Q741,I741))),"REVISAR TE",IF(AND(ISNUMBER(Resumen!$B$3),IF(Q741&lt;&gt;"",Q741,I741)&lt;Resumen!$B$3),"REVISAR",IF(IF(Q741&lt;&gt;"",Q741,I741)&lt;TODAY(),"ATRASADO",IF(IF(Q741&lt;&gt;"",Q741,I741)-TODAY()&lt;=2,"POR VENCER","EN TIEMPO")))))</f>
        <v>ATRASADO</v>
      </c>
      <c r="N741" s="23" t="s">
        <v>214</v>
      </c>
      <c r="P741" s="23" t="s">
        <v>1415</v>
      </c>
      <c r="Q741" s="28"/>
    </row>
    <row r="742" spans="1:17" ht="16.5" x14ac:dyDescent="0.3">
      <c r="A742" s="23" t="s">
        <v>1417</v>
      </c>
      <c r="B742" s="23" t="s">
        <v>54</v>
      </c>
      <c r="C742" s="23" t="s">
        <v>1419</v>
      </c>
      <c r="D742" s="24">
        <v>46268</v>
      </c>
      <c r="E742" s="25">
        <v>1</v>
      </c>
      <c r="F742" s="24">
        <v>46268</v>
      </c>
      <c r="G742" s="23" t="s">
        <v>1418</v>
      </c>
      <c r="H742" s="26">
        <v>28</v>
      </c>
      <c r="I742" s="24">
        <f t="shared" si="36"/>
        <v>46296</v>
      </c>
      <c r="J742" s="26">
        <f t="shared" ca="1" si="34"/>
        <v>-8</v>
      </c>
      <c r="K742" s="26">
        <f t="shared" ca="1" si="35"/>
        <v>8</v>
      </c>
      <c r="L742" s="27"/>
      <c r="M742" s="26" t="str">
        <f ca="1">IF(L742&lt;&gt;"","Entregado",IF(NOT(ISNUMBER(IF(Q742&lt;&gt;"",Q742,I742))),"REVISAR TE",IF(AND(ISNUMBER(Resumen!$B$3),IF(Q742&lt;&gt;"",Q742,I742)&lt;Resumen!$B$3),"REVISAR",IF(IF(Q742&lt;&gt;"",Q742,I742)&lt;TODAY(),"ATRASADO",IF(IF(Q742&lt;&gt;"",Q742,I742)-TODAY()&lt;=2,"POR VENCER","EN TIEMPO")))))</f>
        <v>ATRASADO</v>
      </c>
      <c r="N742" s="23" t="s">
        <v>84</v>
      </c>
      <c r="P742" s="23" t="s">
        <v>1420</v>
      </c>
      <c r="Q742" s="28"/>
    </row>
    <row r="743" spans="1:17" ht="16.5" x14ac:dyDescent="0.3">
      <c r="A743" s="23" t="s">
        <v>1417</v>
      </c>
      <c r="B743" s="23" t="s">
        <v>54</v>
      </c>
      <c r="C743" s="23" t="s">
        <v>1421</v>
      </c>
      <c r="D743" s="24">
        <v>46268</v>
      </c>
      <c r="E743" s="25">
        <v>1</v>
      </c>
      <c r="F743" s="24">
        <v>46268</v>
      </c>
      <c r="G743" s="23" t="s">
        <v>1418</v>
      </c>
      <c r="H743" s="26">
        <v>28</v>
      </c>
      <c r="I743" s="24">
        <f t="shared" si="36"/>
        <v>46296</v>
      </c>
      <c r="J743" s="26">
        <f t="shared" ca="1" si="34"/>
        <v>-8</v>
      </c>
      <c r="K743" s="26">
        <f t="shared" ca="1" si="35"/>
        <v>8</v>
      </c>
      <c r="L743" s="27"/>
      <c r="M743" s="26" t="str">
        <f ca="1">IF(L743&lt;&gt;"","Entregado",IF(NOT(ISNUMBER(IF(Q743&lt;&gt;"",Q743,I743))),"REVISAR TE",IF(AND(ISNUMBER(Resumen!$B$3),IF(Q743&lt;&gt;"",Q743,I743)&lt;Resumen!$B$3),"REVISAR",IF(IF(Q743&lt;&gt;"",Q743,I743)&lt;TODAY(),"ATRASADO",IF(IF(Q743&lt;&gt;"",Q743,I743)-TODAY()&lt;=2,"POR VENCER","EN TIEMPO")))))</f>
        <v>ATRASADO</v>
      </c>
      <c r="N743" s="23" t="s">
        <v>214</v>
      </c>
      <c r="P743" s="23" t="s">
        <v>1420</v>
      </c>
      <c r="Q743" s="28"/>
    </row>
    <row r="744" spans="1:17" ht="16.5" hidden="1" x14ac:dyDescent="0.3">
      <c r="A744" s="23" t="s">
        <v>1422</v>
      </c>
      <c r="B744" s="23" t="s">
        <v>54</v>
      </c>
      <c r="C744" s="23" t="s">
        <v>1423</v>
      </c>
      <c r="D744" s="24">
        <v>46269</v>
      </c>
      <c r="E744" s="25">
        <v>5</v>
      </c>
      <c r="F744" s="24">
        <v>46269</v>
      </c>
      <c r="G744" s="23" t="s">
        <v>93</v>
      </c>
      <c r="H744" s="26">
        <v>28</v>
      </c>
      <c r="I744" s="24">
        <f t="shared" si="36"/>
        <v>46297</v>
      </c>
      <c r="J744" s="26">
        <f t="shared" ca="1" si="34"/>
        <v>-7</v>
      </c>
      <c r="K744" s="26" t="str">
        <f t="shared" ca="1" si="35"/>
        <v/>
      </c>
      <c r="L744" s="27" t="s">
        <v>1567</v>
      </c>
      <c r="M744" s="26" t="str">
        <f ca="1">IF(L744&lt;&gt;"","Entregado",IF(NOT(ISNUMBER(IF(Q744&lt;&gt;"",Q744,I744))),"REVISAR TE",IF(AND(ISNUMBER(Resumen!$B$3),IF(Q744&lt;&gt;"",Q744,I744)&lt;Resumen!$B$3),"REVISAR",IF(IF(Q744&lt;&gt;"",Q744,I744)&lt;TODAY(),"ATRASADO",IF(IF(Q744&lt;&gt;"",Q744,I744)-TODAY()&lt;=2,"POR VENCER","EN TIEMPO")))))</f>
        <v>Entregado</v>
      </c>
      <c r="N744" s="23" t="s">
        <v>98</v>
      </c>
      <c r="P744" s="23" t="s">
        <v>1424</v>
      </c>
      <c r="Q744" s="28"/>
    </row>
    <row r="745" spans="1:17" ht="16.5" x14ac:dyDescent="0.3">
      <c r="A745" s="23" t="s">
        <v>1425</v>
      </c>
      <c r="B745" s="23" t="s">
        <v>52</v>
      </c>
      <c r="C745" s="23" t="s">
        <v>1426</v>
      </c>
      <c r="D745" s="24">
        <v>46272</v>
      </c>
      <c r="E745" s="25">
        <v>1</v>
      </c>
      <c r="F745" s="24">
        <v>46272</v>
      </c>
      <c r="G745" s="23" t="s">
        <v>137</v>
      </c>
      <c r="H745" s="26">
        <v>28</v>
      </c>
      <c r="I745" s="24">
        <f t="shared" si="36"/>
        <v>46300</v>
      </c>
      <c r="J745" s="26">
        <f t="shared" ca="1" si="34"/>
        <v>-4</v>
      </c>
      <c r="K745" s="26">
        <f t="shared" ca="1" si="35"/>
        <v>4</v>
      </c>
      <c r="L745" s="27"/>
      <c r="M745" s="26" t="str">
        <f ca="1">IF(L745&lt;&gt;"","Entregado",IF(NOT(ISNUMBER(IF(Q745&lt;&gt;"",Q745,I745))),"REVISAR TE",IF(AND(ISNUMBER(Resumen!$B$3),IF(Q745&lt;&gt;"",Q745,I745)&lt;Resumen!$B$3),"REVISAR",IF(IF(Q745&lt;&gt;"",Q745,I745)&lt;TODAY(),"ATRASADO",IF(IF(Q745&lt;&gt;"",Q745,I745)-TODAY()&lt;=2,"POR VENCER","EN TIEMPO")))))</f>
        <v>ATRASADO</v>
      </c>
      <c r="N745" s="23" t="s">
        <v>245</v>
      </c>
      <c r="P745" s="23" t="s">
        <v>1427</v>
      </c>
      <c r="Q745" s="28"/>
    </row>
    <row r="746" spans="1:17" ht="16.5" x14ac:dyDescent="0.3">
      <c r="A746" s="23" t="s">
        <v>1425</v>
      </c>
      <c r="B746" s="23" t="s">
        <v>52</v>
      </c>
      <c r="C746" s="23" t="s">
        <v>1428</v>
      </c>
      <c r="D746" s="24">
        <v>46272</v>
      </c>
      <c r="E746" s="25">
        <v>1</v>
      </c>
      <c r="F746" s="24">
        <v>46272</v>
      </c>
      <c r="G746" s="23" t="s">
        <v>137</v>
      </c>
      <c r="H746" s="26">
        <v>28</v>
      </c>
      <c r="I746" s="24">
        <f t="shared" si="36"/>
        <v>46300</v>
      </c>
      <c r="J746" s="26">
        <f t="shared" ca="1" si="34"/>
        <v>-4</v>
      </c>
      <c r="K746" s="26">
        <f t="shared" ca="1" si="35"/>
        <v>4</v>
      </c>
      <c r="L746" s="27"/>
      <c r="M746" s="26" t="str">
        <f ca="1">IF(L746&lt;&gt;"","Entregado",IF(NOT(ISNUMBER(IF(Q746&lt;&gt;"",Q746,I746))),"REVISAR TE",IF(AND(ISNUMBER(Resumen!$B$3),IF(Q746&lt;&gt;"",Q746,I746)&lt;Resumen!$B$3),"REVISAR",IF(IF(Q746&lt;&gt;"",Q746,I746)&lt;TODAY(),"ATRASADO",IF(IF(Q746&lt;&gt;"",Q746,I746)-TODAY()&lt;=2,"POR VENCER","EN TIEMPO")))))</f>
        <v>ATRASADO</v>
      </c>
      <c r="N746" s="23" t="s">
        <v>245</v>
      </c>
      <c r="P746" s="23" t="s">
        <v>1427</v>
      </c>
      <c r="Q746" s="28"/>
    </row>
    <row r="747" spans="1:17" ht="16.5" x14ac:dyDescent="0.3">
      <c r="A747" s="23" t="s">
        <v>1425</v>
      </c>
      <c r="B747" s="23" t="s">
        <v>52</v>
      </c>
      <c r="C747" s="23" t="s">
        <v>1429</v>
      </c>
      <c r="D747" s="24">
        <v>46272</v>
      </c>
      <c r="E747" s="25">
        <v>1</v>
      </c>
      <c r="F747" s="24">
        <v>46272</v>
      </c>
      <c r="G747" s="23" t="s">
        <v>137</v>
      </c>
      <c r="H747" s="26">
        <v>28</v>
      </c>
      <c r="I747" s="24">
        <f t="shared" si="36"/>
        <v>46300</v>
      </c>
      <c r="J747" s="26">
        <f t="shared" ca="1" si="34"/>
        <v>-4</v>
      </c>
      <c r="K747" s="26">
        <f t="shared" ca="1" si="35"/>
        <v>4</v>
      </c>
      <c r="L747" s="27"/>
      <c r="M747" s="26" t="str">
        <f ca="1">IF(L747&lt;&gt;"","Entregado",IF(NOT(ISNUMBER(IF(Q747&lt;&gt;"",Q747,I747))),"REVISAR TE",IF(AND(ISNUMBER(Resumen!$B$3),IF(Q747&lt;&gt;"",Q747,I747)&lt;Resumen!$B$3),"REVISAR",IF(IF(Q747&lt;&gt;"",Q747,I747)&lt;TODAY(),"ATRASADO",IF(IF(Q747&lt;&gt;"",Q747,I747)-TODAY()&lt;=2,"POR VENCER","EN TIEMPO")))))</f>
        <v>ATRASADO</v>
      </c>
      <c r="N747" s="23" t="s">
        <v>245</v>
      </c>
      <c r="P747" s="23" t="s">
        <v>1427</v>
      </c>
      <c r="Q747" s="28"/>
    </row>
    <row r="748" spans="1:17" ht="16.5" x14ac:dyDescent="0.3">
      <c r="A748" s="23" t="s">
        <v>1425</v>
      </c>
      <c r="B748" s="23" t="s">
        <v>52</v>
      </c>
      <c r="C748" s="23" t="s">
        <v>1430</v>
      </c>
      <c r="D748" s="24">
        <v>46272</v>
      </c>
      <c r="E748" s="25">
        <v>1</v>
      </c>
      <c r="F748" s="24">
        <v>46272</v>
      </c>
      <c r="G748" s="23" t="s">
        <v>137</v>
      </c>
      <c r="H748" s="26">
        <v>28</v>
      </c>
      <c r="I748" s="24">
        <f t="shared" si="36"/>
        <v>46300</v>
      </c>
      <c r="J748" s="26">
        <f t="shared" ca="1" si="34"/>
        <v>-4</v>
      </c>
      <c r="K748" s="26">
        <f t="shared" ca="1" si="35"/>
        <v>4</v>
      </c>
      <c r="L748" s="27"/>
      <c r="M748" s="26" t="str">
        <f ca="1">IF(L748&lt;&gt;"","Entregado",IF(NOT(ISNUMBER(IF(Q748&lt;&gt;"",Q748,I748))),"REVISAR TE",IF(AND(ISNUMBER(Resumen!$B$3),IF(Q748&lt;&gt;"",Q748,I748)&lt;Resumen!$B$3),"REVISAR",IF(IF(Q748&lt;&gt;"",Q748,I748)&lt;TODAY(),"ATRASADO",IF(IF(Q748&lt;&gt;"",Q748,I748)-TODAY()&lt;=2,"POR VENCER","EN TIEMPO")))))</f>
        <v>ATRASADO</v>
      </c>
      <c r="N748" s="23" t="s">
        <v>245</v>
      </c>
      <c r="P748" s="23" t="s">
        <v>1427</v>
      </c>
      <c r="Q748" s="28"/>
    </row>
    <row r="749" spans="1:17" ht="16.5" hidden="1" x14ac:dyDescent="0.3">
      <c r="A749" s="23" t="s">
        <v>1425</v>
      </c>
      <c r="B749" s="23" t="s">
        <v>52</v>
      </c>
      <c r="C749" s="23" t="s">
        <v>1431</v>
      </c>
      <c r="D749" s="24">
        <v>46272</v>
      </c>
      <c r="E749" s="25">
        <v>1</v>
      </c>
      <c r="F749" s="24">
        <v>46272</v>
      </c>
      <c r="G749" s="23" t="s">
        <v>137</v>
      </c>
      <c r="H749" s="26">
        <v>28</v>
      </c>
      <c r="I749" s="24">
        <f t="shared" si="36"/>
        <v>46300</v>
      </c>
      <c r="J749" s="26">
        <f t="shared" ca="1" si="34"/>
        <v>-4</v>
      </c>
      <c r="K749" s="26" t="str">
        <f t="shared" ca="1" si="35"/>
        <v/>
      </c>
      <c r="L749" s="27" t="s">
        <v>1567</v>
      </c>
      <c r="M749" s="26" t="str">
        <f ca="1">IF(L749&lt;&gt;"","Entregado",IF(NOT(ISNUMBER(IF(Q749&lt;&gt;"",Q749,I749))),"REVISAR TE",IF(AND(ISNUMBER(Resumen!$B$3),IF(Q749&lt;&gt;"",Q749,I749)&lt;Resumen!$B$3),"REVISAR",IF(IF(Q749&lt;&gt;"",Q749,I749)&lt;TODAY(),"ATRASADO",IF(IF(Q749&lt;&gt;"",Q749,I749)-TODAY()&lt;=2,"POR VENCER","EN TIEMPO")))))</f>
        <v>Entregado</v>
      </c>
      <c r="N749" s="23" t="s">
        <v>245</v>
      </c>
      <c r="P749" s="23" t="s">
        <v>1427</v>
      </c>
      <c r="Q749" s="28"/>
    </row>
    <row r="750" spans="1:17" ht="16.5" x14ac:dyDescent="0.3">
      <c r="A750" s="23" t="s">
        <v>1432</v>
      </c>
      <c r="B750" s="23"/>
      <c r="C750" s="23" t="s">
        <v>1433</v>
      </c>
      <c r="D750" s="24">
        <v>46273</v>
      </c>
      <c r="E750" s="25">
        <v>1</v>
      </c>
      <c r="F750" s="24">
        <v>46273</v>
      </c>
      <c r="G750" s="23" t="s">
        <v>83</v>
      </c>
      <c r="H750" s="26">
        <v>21</v>
      </c>
      <c r="I750" s="24">
        <f t="shared" si="36"/>
        <v>46294</v>
      </c>
      <c r="J750" s="26">
        <f t="shared" ca="1" si="34"/>
        <v>-10</v>
      </c>
      <c r="K750" s="26">
        <f t="shared" ca="1" si="35"/>
        <v>10</v>
      </c>
      <c r="L750" s="27"/>
      <c r="M750" s="26" t="str">
        <f ca="1">IF(L750&lt;&gt;"","Entregado",IF(NOT(ISNUMBER(IF(Q750&lt;&gt;"",Q750,I750))),"REVISAR TE",IF(AND(ISNUMBER(Resumen!$B$3),IF(Q750&lt;&gt;"",Q750,I750)&lt;Resumen!$B$3),"REVISAR",IF(IF(Q750&lt;&gt;"",Q750,I750)&lt;TODAY(),"ATRASADO",IF(IF(Q750&lt;&gt;"",Q750,I750)-TODAY()&lt;=2,"POR VENCER","EN TIEMPO")))))</f>
        <v>ATRASADO</v>
      </c>
      <c r="N750" s="23" t="s">
        <v>672</v>
      </c>
      <c r="P750" s="23" t="s">
        <v>1434</v>
      </c>
      <c r="Q750" s="28"/>
    </row>
    <row r="751" spans="1:17" ht="16.5" x14ac:dyDescent="0.3">
      <c r="A751" s="23" t="s">
        <v>1435</v>
      </c>
      <c r="B751" s="23" t="s">
        <v>52</v>
      </c>
      <c r="C751" s="23" t="s">
        <v>1436</v>
      </c>
      <c r="D751" s="24">
        <v>46273</v>
      </c>
      <c r="E751" s="25">
        <v>1</v>
      </c>
      <c r="F751" s="24">
        <v>46273</v>
      </c>
      <c r="G751" s="23" t="s">
        <v>83</v>
      </c>
      <c r="H751" s="26">
        <v>21</v>
      </c>
      <c r="I751" s="24">
        <f t="shared" si="36"/>
        <v>46294</v>
      </c>
      <c r="J751" s="26">
        <f t="shared" ca="1" si="34"/>
        <v>-10</v>
      </c>
      <c r="K751" s="26">
        <f t="shared" ca="1" si="35"/>
        <v>10</v>
      </c>
      <c r="L751" s="27"/>
      <c r="M751" s="26" t="str">
        <f ca="1">IF(L751&lt;&gt;"","Entregado",IF(NOT(ISNUMBER(IF(Q751&lt;&gt;"",Q751,I751))),"REVISAR TE",IF(AND(ISNUMBER(Resumen!$B$3),IF(Q751&lt;&gt;"",Q751,I751)&lt;Resumen!$B$3),"REVISAR",IF(IF(Q751&lt;&gt;"",Q751,I751)&lt;TODAY(),"ATRASADO",IF(IF(Q751&lt;&gt;"",Q751,I751)-TODAY()&lt;=2,"POR VENCER","EN TIEMPO")))))</f>
        <v>ATRASADO</v>
      </c>
      <c r="N751" s="23" t="s">
        <v>216</v>
      </c>
      <c r="P751" s="23" t="s">
        <v>1437</v>
      </c>
      <c r="Q751" s="28"/>
    </row>
    <row r="752" spans="1:17" ht="16.5" x14ac:dyDescent="0.3">
      <c r="A752" s="23" t="s">
        <v>1438</v>
      </c>
      <c r="B752" s="23" t="s">
        <v>55</v>
      </c>
      <c r="C752" s="23" t="s">
        <v>1439</v>
      </c>
      <c r="D752" s="24">
        <v>46274</v>
      </c>
      <c r="E752" s="25">
        <v>1</v>
      </c>
      <c r="F752" s="24">
        <v>46274</v>
      </c>
      <c r="G752" s="23" t="s">
        <v>137</v>
      </c>
      <c r="H752" s="26">
        <v>28</v>
      </c>
      <c r="I752" s="24">
        <f t="shared" si="36"/>
        <v>46302</v>
      </c>
      <c r="J752" s="26">
        <f t="shared" ca="1" si="34"/>
        <v>-2</v>
      </c>
      <c r="K752" s="26">
        <f t="shared" ca="1" si="35"/>
        <v>2</v>
      </c>
      <c r="L752" s="27"/>
      <c r="M752" s="26" t="str">
        <f ca="1">IF(L752&lt;&gt;"","Entregado",IF(NOT(ISNUMBER(IF(Q752&lt;&gt;"",Q752,I752))),"REVISAR TE",IF(AND(ISNUMBER(Resumen!$B$3),IF(Q752&lt;&gt;"",Q752,I752)&lt;Resumen!$B$3),"REVISAR",IF(IF(Q752&lt;&gt;"",Q752,I752)&lt;TODAY(),"ATRASADO",IF(IF(Q752&lt;&gt;"",Q752,I752)-TODAY()&lt;=2,"POR VENCER","EN TIEMPO")))))</f>
        <v>ATRASADO</v>
      </c>
      <c r="N752" s="23" t="s">
        <v>245</v>
      </c>
      <c r="P752" s="23" t="s">
        <v>1440</v>
      </c>
      <c r="Q752" s="28"/>
    </row>
    <row r="753" spans="1:17" ht="16.5" x14ac:dyDescent="0.3">
      <c r="A753" s="23" t="s">
        <v>1438</v>
      </c>
      <c r="B753" s="23" t="s">
        <v>55</v>
      </c>
      <c r="C753" s="23" t="s">
        <v>1441</v>
      </c>
      <c r="D753" s="24">
        <v>46274</v>
      </c>
      <c r="E753" s="25">
        <v>1</v>
      </c>
      <c r="F753" s="24">
        <v>46274</v>
      </c>
      <c r="G753" s="23" t="s">
        <v>137</v>
      </c>
      <c r="H753" s="26">
        <v>28</v>
      </c>
      <c r="I753" s="24">
        <f t="shared" si="36"/>
        <v>46302</v>
      </c>
      <c r="J753" s="26">
        <f t="shared" ca="1" si="34"/>
        <v>-2</v>
      </c>
      <c r="K753" s="26">
        <f t="shared" ca="1" si="35"/>
        <v>2</v>
      </c>
      <c r="L753" s="27"/>
      <c r="M753" s="26" t="str">
        <f ca="1">IF(L753&lt;&gt;"","Entregado",IF(NOT(ISNUMBER(IF(Q753&lt;&gt;"",Q753,I753))),"REVISAR TE",IF(AND(ISNUMBER(Resumen!$B$3),IF(Q753&lt;&gt;"",Q753,I753)&lt;Resumen!$B$3),"REVISAR",IF(IF(Q753&lt;&gt;"",Q753,I753)&lt;TODAY(),"ATRASADO",IF(IF(Q753&lt;&gt;"",Q753,I753)-TODAY()&lt;=2,"POR VENCER","EN TIEMPO")))))</f>
        <v>ATRASADO</v>
      </c>
      <c r="N753" s="23" t="s">
        <v>245</v>
      </c>
      <c r="P753" s="23" t="s">
        <v>1440</v>
      </c>
      <c r="Q753" s="28"/>
    </row>
    <row r="754" spans="1:17" ht="16.5" x14ac:dyDescent="0.3">
      <c r="A754" s="23" t="s">
        <v>1438</v>
      </c>
      <c r="B754" s="23" t="s">
        <v>55</v>
      </c>
      <c r="C754" s="23" t="s">
        <v>1442</v>
      </c>
      <c r="D754" s="24">
        <v>46274</v>
      </c>
      <c r="E754" s="25">
        <v>1</v>
      </c>
      <c r="F754" s="24">
        <v>46274</v>
      </c>
      <c r="G754" s="23" t="s">
        <v>137</v>
      </c>
      <c r="H754" s="26">
        <v>28</v>
      </c>
      <c r="I754" s="24">
        <f t="shared" si="36"/>
        <v>46302</v>
      </c>
      <c r="J754" s="26">
        <f t="shared" ca="1" si="34"/>
        <v>-2</v>
      </c>
      <c r="K754" s="26">
        <f t="shared" ca="1" si="35"/>
        <v>2</v>
      </c>
      <c r="L754" s="27"/>
      <c r="M754" s="26" t="str">
        <f ca="1">IF(L754&lt;&gt;"","Entregado",IF(NOT(ISNUMBER(IF(Q754&lt;&gt;"",Q754,I754))),"REVISAR TE",IF(AND(ISNUMBER(Resumen!$B$3),IF(Q754&lt;&gt;"",Q754,I754)&lt;Resumen!$B$3),"REVISAR",IF(IF(Q754&lt;&gt;"",Q754,I754)&lt;TODAY(),"ATRASADO",IF(IF(Q754&lt;&gt;"",Q754,I754)-TODAY()&lt;=2,"POR VENCER","EN TIEMPO")))))</f>
        <v>ATRASADO</v>
      </c>
      <c r="N754" s="23" t="s">
        <v>94</v>
      </c>
      <c r="P754" s="23" t="s">
        <v>1440</v>
      </c>
      <c r="Q754" s="28"/>
    </row>
    <row r="755" spans="1:17" ht="16.5" x14ac:dyDescent="0.3">
      <c r="A755" s="23" t="s">
        <v>1443</v>
      </c>
      <c r="B755" s="23" t="s">
        <v>54</v>
      </c>
      <c r="C755" s="23" t="s">
        <v>1444</v>
      </c>
      <c r="D755" s="24">
        <v>46275</v>
      </c>
      <c r="E755" s="25">
        <v>1</v>
      </c>
      <c r="F755" s="24">
        <v>46275</v>
      </c>
      <c r="G755" s="23" t="s">
        <v>93</v>
      </c>
      <c r="H755" s="26">
        <v>28</v>
      </c>
      <c r="I755" s="24">
        <f t="shared" si="36"/>
        <v>46303</v>
      </c>
      <c r="J755" s="26">
        <f t="shared" ca="1" si="34"/>
        <v>-1</v>
      </c>
      <c r="K755" s="26">
        <f t="shared" ca="1" si="35"/>
        <v>1</v>
      </c>
      <c r="L755" s="27"/>
      <c r="M755" s="26" t="str">
        <f ca="1">IF(L755&lt;&gt;"","Entregado",IF(NOT(ISNUMBER(IF(Q755&lt;&gt;"",Q755,I755))),"REVISAR TE",IF(AND(ISNUMBER(Resumen!$B$3),IF(Q755&lt;&gt;"",Q755,I755)&lt;Resumen!$B$3),"REVISAR",IF(IF(Q755&lt;&gt;"",Q755,I755)&lt;TODAY(),"ATRASADO",IF(IF(Q755&lt;&gt;"",Q755,I755)-TODAY()&lt;=2,"POR VENCER","EN TIEMPO")))))</f>
        <v>ATRASADO</v>
      </c>
      <c r="N755" s="23" t="s">
        <v>245</v>
      </c>
      <c r="P755" s="23" t="s">
        <v>1445</v>
      </c>
      <c r="Q755" s="28"/>
    </row>
    <row r="756" spans="1:17" ht="16.5" x14ac:dyDescent="0.3">
      <c r="A756" s="23" t="s">
        <v>1443</v>
      </c>
      <c r="B756" s="23" t="s">
        <v>54</v>
      </c>
      <c r="C756" s="23" t="s">
        <v>1446</v>
      </c>
      <c r="D756" s="24">
        <v>46275</v>
      </c>
      <c r="E756" s="25">
        <v>1</v>
      </c>
      <c r="F756" s="24">
        <v>46275</v>
      </c>
      <c r="G756" s="23" t="s">
        <v>93</v>
      </c>
      <c r="H756" s="26">
        <v>28</v>
      </c>
      <c r="I756" s="24">
        <f t="shared" si="36"/>
        <v>46303</v>
      </c>
      <c r="J756" s="26">
        <f t="shared" ca="1" si="34"/>
        <v>-1</v>
      </c>
      <c r="K756" s="26">
        <f t="shared" ca="1" si="35"/>
        <v>1</v>
      </c>
      <c r="L756" s="27"/>
      <c r="M756" s="26" t="str">
        <f ca="1">IF(L756&lt;&gt;"","Entregado",IF(NOT(ISNUMBER(IF(Q756&lt;&gt;"",Q756,I756))),"REVISAR TE",IF(AND(ISNUMBER(Resumen!$B$3),IF(Q756&lt;&gt;"",Q756,I756)&lt;Resumen!$B$3),"REVISAR",IF(IF(Q756&lt;&gt;"",Q756,I756)&lt;TODAY(),"ATRASADO",IF(IF(Q756&lt;&gt;"",Q756,I756)-TODAY()&lt;=2,"POR VENCER","EN TIEMPO")))))</f>
        <v>ATRASADO</v>
      </c>
      <c r="N756" s="23" t="s">
        <v>245</v>
      </c>
      <c r="P756" s="23" t="s">
        <v>1445</v>
      </c>
      <c r="Q756" s="28"/>
    </row>
    <row r="757" spans="1:17" ht="16.5" hidden="1" x14ac:dyDescent="0.3">
      <c r="A757" s="23" t="s">
        <v>1447</v>
      </c>
      <c r="B757" s="23" t="s">
        <v>53</v>
      </c>
      <c r="C757" s="23" t="s">
        <v>1448</v>
      </c>
      <c r="D757" s="24">
        <v>46275</v>
      </c>
      <c r="E757" s="25">
        <v>1</v>
      </c>
      <c r="F757" s="24">
        <v>46275</v>
      </c>
      <c r="G757" s="23" t="s">
        <v>83</v>
      </c>
      <c r="H757" s="26">
        <v>21</v>
      </c>
      <c r="I757" s="24">
        <f t="shared" si="36"/>
        <v>46296</v>
      </c>
      <c r="J757" s="26">
        <f t="shared" ca="1" si="34"/>
        <v>-8</v>
      </c>
      <c r="K757" s="26" t="str">
        <f t="shared" ca="1" si="35"/>
        <v/>
      </c>
      <c r="L757" s="27" t="s">
        <v>1567</v>
      </c>
      <c r="M757" s="26" t="str">
        <f ca="1">IF(L757&lt;&gt;"","Entregado",IF(NOT(ISNUMBER(IF(Q757&lt;&gt;"",Q757,I757))),"REVISAR TE",IF(AND(ISNUMBER(Resumen!$B$3),IF(Q757&lt;&gt;"",Q757,I757)&lt;Resumen!$B$3),"REVISAR",IF(IF(Q757&lt;&gt;"",Q757,I757)&lt;TODAY(),"ATRASADO",IF(IF(Q757&lt;&gt;"",Q757,I757)-TODAY()&lt;=2,"POR VENCER","EN TIEMPO")))))</f>
        <v>Entregado</v>
      </c>
      <c r="N757" s="23" t="s">
        <v>920</v>
      </c>
      <c r="P757" s="23" t="s">
        <v>1449</v>
      </c>
      <c r="Q757" s="28"/>
    </row>
    <row r="758" spans="1:17" ht="16.5" hidden="1" x14ac:dyDescent="0.3">
      <c r="A758" s="23" t="s">
        <v>1450</v>
      </c>
      <c r="B758" s="23" t="s">
        <v>52</v>
      </c>
      <c r="C758" s="23" t="s">
        <v>1351</v>
      </c>
      <c r="D758" s="24">
        <v>46277</v>
      </c>
      <c r="E758" s="25">
        <v>6</v>
      </c>
      <c r="F758" s="24">
        <v>46277</v>
      </c>
      <c r="G758" s="23" t="s">
        <v>411</v>
      </c>
      <c r="H758" s="26">
        <v>3</v>
      </c>
      <c r="I758" s="24">
        <f t="shared" si="36"/>
        <v>46280</v>
      </c>
      <c r="J758" s="26">
        <f t="shared" ca="1" si="34"/>
        <v>-24</v>
      </c>
      <c r="K758" s="26" t="str">
        <f t="shared" ca="1" si="35"/>
        <v/>
      </c>
      <c r="L758" s="27" t="s">
        <v>1567</v>
      </c>
      <c r="M758" s="26" t="str">
        <f ca="1">IF(L758&lt;&gt;"","Entregado",IF(NOT(ISNUMBER(IF(Q758&lt;&gt;"",Q758,I758))),"REVISAR TE",IF(AND(ISNUMBER(Resumen!$B$3),IF(Q758&lt;&gt;"",Q758,I758)&lt;Resumen!$B$3),"REVISAR",IF(IF(Q758&lt;&gt;"",Q758,I758)&lt;TODAY(),"ATRASADO",IF(IF(Q758&lt;&gt;"",Q758,I758)-TODAY()&lt;=2,"POR VENCER","EN TIEMPO")))))</f>
        <v>Entregado</v>
      </c>
      <c r="N758" s="23" t="s">
        <v>460</v>
      </c>
      <c r="P758" s="23" t="s">
        <v>1451</v>
      </c>
      <c r="Q758" s="28"/>
    </row>
    <row r="759" spans="1:17" ht="16.5" x14ac:dyDescent="0.3">
      <c r="A759" s="23" t="s">
        <v>1452</v>
      </c>
      <c r="B759" s="23" t="s">
        <v>55</v>
      </c>
      <c r="C759" s="23" t="s">
        <v>1453</v>
      </c>
      <c r="D759" s="24">
        <v>46282</v>
      </c>
      <c r="E759" s="25">
        <v>1</v>
      </c>
      <c r="F759" s="24">
        <v>46282</v>
      </c>
      <c r="G759" s="23" t="s">
        <v>83</v>
      </c>
      <c r="H759" s="26">
        <v>21</v>
      </c>
      <c r="I759" s="24">
        <f t="shared" si="36"/>
        <v>46303</v>
      </c>
      <c r="J759" s="26">
        <f t="shared" ca="1" si="34"/>
        <v>-1</v>
      </c>
      <c r="K759" s="26">
        <f t="shared" ca="1" si="35"/>
        <v>1</v>
      </c>
      <c r="L759" s="27"/>
      <c r="M759" s="26" t="str">
        <f ca="1">IF(L759&lt;&gt;"","Entregado",IF(NOT(ISNUMBER(IF(Q759&lt;&gt;"",Q759,I759))),"REVISAR TE",IF(AND(ISNUMBER(Resumen!$B$3),IF(Q759&lt;&gt;"",Q759,I759)&lt;Resumen!$B$3),"REVISAR",IF(IF(Q759&lt;&gt;"",Q759,I759)&lt;TODAY(),"ATRASADO",IF(IF(Q759&lt;&gt;"",Q759,I759)-TODAY()&lt;=2,"POR VENCER","EN TIEMPO")))))</f>
        <v>ATRASADO</v>
      </c>
      <c r="N759" s="23" t="s">
        <v>245</v>
      </c>
      <c r="P759" s="23" t="s">
        <v>1454</v>
      </c>
      <c r="Q759" s="28"/>
    </row>
    <row r="760" spans="1:17" ht="16.5" x14ac:dyDescent="0.3">
      <c r="A760" s="23" t="s">
        <v>1452</v>
      </c>
      <c r="B760" s="23" t="s">
        <v>55</v>
      </c>
      <c r="C760" s="23" t="s">
        <v>1455</v>
      </c>
      <c r="D760" s="24">
        <v>46282</v>
      </c>
      <c r="E760" s="25">
        <v>1</v>
      </c>
      <c r="F760" s="24">
        <v>46282</v>
      </c>
      <c r="G760" s="23" t="s">
        <v>83</v>
      </c>
      <c r="H760" s="26">
        <v>21</v>
      </c>
      <c r="I760" s="24">
        <f t="shared" si="36"/>
        <v>46303</v>
      </c>
      <c r="J760" s="26">
        <f t="shared" ca="1" si="34"/>
        <v>-1</v>
      </c>
      <c r="K760" s="26">
        <f t="shared" ca="1" si="35"/>
        <v>1</v>
      </c>
      <c r="L760" s="27"/>
      <c r="M760" s="26" t="str">
        <f ca="1">IF(L760&lt;&gt;"","Entregado",IF(NOT(ISNUMBER(IF(Q760&lt;&gt;"",Q760,I760))),"REVISAR TE",IF(AND(ISNUMBER(Resumen!$B$3),IF(Q760&lt;&gt;"",Q760,I760)&lt;Resumen!$B$3),"REVISAR",IF(IF(Q760&lt;&gt;"",Q760,I760)&lt;TODAY(),"ATRASADO",IF(IF(Q760&lt;&gt;"",Q760,I760)-TODAY()&lt;=2,"POR VENCER","EN TIEMPO")))))</f>
        <v>ATRASADO</v>
      </c>
      <c r="N760" s="23" t="s">
        <v>245</v>
      </c>
      <c r="P760" s="23" t="s">
        <v>1454</v>
      </c>
      <c r="Q760" s="28"/>
    </row>
    <row r="761" spans="1:17" ht="16.5" x14ac:dyDescent="0.3">
      <c r="A761" s="23" t="s">
        <v>1456</v>
      </c>
      <c r="B761" s="23" t="s">
        <v>55</v>
      </c>
      <c r="C761" s="23" t="s">
        <v>1457</v>
      </c>
      <c r="D761" s="24">
        <v>46282</v>
      </c>
      <c r="E761" s="25">
        <v>4</v>
      </c>
      <c r="F761" s="24">
        <v>46282</v>
      </c>
      <c r="G761" s="23" t="s">
        <v>93</v>
      </c>
      <c r="H761" s="26">
        <v>28</v>
      </c>
      <c r="I761" s="24">
        <f t="shared" si="36"/>
        <v>46310</v>
      </c>
      <c r="J761" s="26">
        <f t="shared" ca="1" si="34"/>
        <v>6</v>
      </c>
      <c r="K761" s="26" t="str">
        <f t="shared" ca="1" si="35"/>
        <v/>
      </c>
      <c r="L761" s="27"/>
      <c r="M761" s="26" t="str">
        <f ca="1">IF(L761&lt;&gt;"","Entregado",IF(NOT(ISNUMBER(IF(Q761&lt;&gt;"",Q761,I761))),"REVISAR TE",IF(AND(ISNUMBER(Resumen!$B$3),IF(Q761&lt;&gt;"",Q761,I761)&lt;Resumen!$B$3),"REVISAR",IF(IF(Q761&lt;&gt;"",Q761,I761)&lt;TODAY(),"ATRASADO",IF(IF(Q761&lt;&gt;"",Q761,I761)-TODAY()&lt;=2,"POR VENCER","EN TIEMPO")))))</f>
        <v>EN TIEMPO</v>
      </c>
      <c r="N761" s="23" t="s">
        <v>98</v>
      </c>
      <c r="P761" s="23" t="s">
        <v>1458</v>
      </c>
      <c r="Q761" s="28"/>
    </row>
    <row r="762" spans="1:17" ht="16.5" x14ac:dyDescent="0.3">
      <c r="A762" s="23" t="s">
        <v>1456</v>
      </c>
      <c r="B762" s="23" t="s">
        <v>55</v>
      </c>
      <c r="C762" s="23" t="s">
        <v>1459</v>
      </c>
      <c r="D762" s="24">
        <v>46282</v>
      </c>
      <c r="E762" s="25">
        <v>1</v>
      </c>
      <c r="F762" s="24">
        <v>46282</v>
      </c>
      <c r="G762" s="23" t="s">
        <v>93</v>
      </c>
      <c r="H762" s="26">
        <v>28</v>
      </c>
      <c r="I762" s="24">
        <f t="shared" si="36"/>
        <v>46310</v>
      </c>
      <c r="J762" s="26">
        <f t="shared" ca="1" si="34"/>
        <v>6</v>
      </c>
      <c r="K762" s="26" t="str">
        <f t="shared" ca="1" si="35"/>
        <v/>
      </c>
      <c r="L762" s="27"/>
      <c r="M762" s="26" t="str">
        <f ca="1">IF(L762&lt;&gt;"","Entregado",IF(NOT(ISNUMBER(IF(Q762&lt;&gt;"",Q762,I762))),"REVISAR TE",IF(AND(ISNUMBER(Resumen!$B$3),IF(Q762&lt;&gt;"",Q762,I762)&lt;Resumen!$B$3),"REVISAR",IF(IF(Q762&lt;&gt;"",Q762,I762)&lt;TODAY(),"ATRASADO",IF(IF(Q762&lt;&gt;"",Q762,I762)-TODAY()&lt;=2,"POR VENCER","EN TIEMPO")))))</f>
        <v>EN TIEMPO</v>
      </c>
      <c r="N762" s="23" t="s">
        <v>245</v>
      </c>
      <c r="P762" s="23" t="s">
        <v>1458</v>
      </c>
      <c r="Q762" s="28"/>
    </row>
    <row r="763" spans="1:17" ht="16.5" x14ac:dyDescent="0.3">
      <c r="A763" s="23" t="s">
        <v>1460</v>
      </c>
      <c r="B763" s="23" t="s">
        <v>52</v>
      </c>
      <c r="C763" s="23" t="s">
        <v>1461</v>
      </c>
      <c r="D763" s="24">
        <v>46283</v>
      </c>
      <c r="E763" s="25">
        <v>1</v>
      </c>
      <c r="F763" s="24">
        <v>46283</v>
      </c>
      <c r="G763" s="23" t="s">
        <v>137</v>
      </c>
      <c r="H763" s="26">
        <v>28</v>
      </c>
      <c r="I763" s="24">
        <f t="shared" si="36"/>
        <v>46311</v>
      </c>
      <c r="J763" s="26">
        <f t="shared" ca="1" si="34"/>
        <v>7</v>
      </c>
      <c r="K763" s="26" t="str">
        <f t="shared" ca="1" si="35"/>
        <v/>
      </c>
      <c r="L763" s="27"/>
      <c r="M763" s="26" t="str">
        <f ca="1">IF(L763&lt;&gt;"","Entregado",IF(NOT(ISNUMBER(IF(Q763&lt;&gt;"",Q763,I763))),"REVISAR TE",IF(AND(ISNUMBER(Resumen!$B$3),IF(Q763&lt;&gt;"",Q763,I763)&lt;Resumen!$B$3),"REVISAR",IF(IF(Q763&lt;&gt;"",Q763,I763)&lt;TODAY(),"ATRASADO",IF(IF(Q763&lt;&gt;"",Q763,I763)-TODAY()&lt;=2,"POR VENCER","EN TIEMPO")))))</f>
        <v>EN TIEMPO</v>
      </c>
      <c r="N763" s="23" t="s">
        <v>94</v>
      </c>
      <c r="P763" s="23" t="s">
        <v>1462</v>
      </c>
      <c r="Q763" s="28"/>
    </row>
    <row r="764" spans="1:17" ht="16.5" x14ac:dyDescent="0.3">
      <c r="A764" s="23" t="s">
        <v>1460</v>
      </c>
      <c r="B764" s="23" t="s">
        <v>52</v>
      </c>
      <c r="C764" s="23" t="s">
        <v>1463</v>
      </c>
      <c r="D764" s="24">
        <v>46283</v>
      </c>
      <c r="E764" s="25">
        <v>1</v>
      </c>
      <c r="F764" s="24">
        <v>46283</v>
      </c>
      <c r="G764" s="23" t="s">
        <v>137</v>
      </c>
      <c r="H764" s="26">
        <v>28</v>
      </c>
      <c r="I764" s="24">
        <f t="shared" si="36"/>
        <v>46311</v>
      </c>
      <c r="J764" s="26">
        <f t="shared" ca="1" si="34"/>
        <v>7</v>
      </c>
      <c r="K764" s="26" t="str">
        <f t="shared" ca="1" si="35"/>
        <v/>
      </c>
      <c r="L764" s="27"/>
      <c r="M764" s="26" t="str">
        <f ca="1">IF(L764&lt;&gt;"","Entregado",IF(NOT(ISNUMBER(IF(Q764&lt;&gt;"",Q764,I764))),"REVISAR TE",IF(AND(ISNUMBER(Resumen!$B$3),IF(Q764&lt;&gt;"",Q764,I764)&lt;Resumen!$B$3),"REVISAR",IF(IF(Q764&lt;&gt;"",Q764,I764)&lt;TODAY(),"ATRASADO",IF(IF(Q764&lt;&gt;"",Q764,I764)-TODAY()&lt;=2,"POR VENCER","EN TIEMPO")))))</f>
        <v>EN TIEMPO</v>
      </c>
      <c r="N764" s="23" t="s">
        <v>94</v>
      </c>
      <c r="P764" s="23" t="s">
        <v>1462</v>
      </c>
      <c r="Q764" s="28"/>
    </row>
    <row r="765" spans="1:17" ht="16.5" x14ac:dyDescent="0.3">
      <c r="A765" s="23" t="s">
        <v>1460</v>
      </c>
      <c r="B765" s="23" t="s">
        <v>52</v>
      </c>
      <c r="C765" s="23" t="s">
        <v>175</v>
      </c>
      <c r="D765" s="24">
        <v>46283</v>
      </c>
      <c r="E765" s="25">
        <v>1</v>
      </c>
      <c r="F765" s="24">
        <v>46283</v>
      </c>
      <c r="G765" s="23" t="s">
        <v>137</v>
      </c>
      <c r="H765" s="26">
        <v>28</v>
      </c>
      <c r="I765" s="24">
        <f t="shared" si="36"/>
        <v>46311</v>
      </c>
      <c r="J765" s="26">
        <f t="shared" ca="1" si="34"/>
        <v>7</v>
      </c>
      <c r="K765" s="26" t="str">
        <f t="shared" ca="1" si="35"/>
        <v/>
      </c>
      <c r="L765" s="27"/>
      <c r="M765" s="26" t="str">
        <f ca="1">IF(L765&lt;&gt;"","Entregado",IF(NOT(ISNUMBER(IF(Q765&lt;&gt;"",Q765,I765))),"REVISAR TE",IF(AND(ISNUMBER(Resumen!$B$3),IF(Q765&lt;&gt;"",Q765,I765)&lt;Resumen!$B$3),"REVISAR",IF(IF(Q765&lt;&gt;"",Q765,I765)&lt;TODAY(),"ATRASADO",IF(IF(Q765&lt;&gt;"",Q765,I765)-TODAY()&lt;=2,"POR VENCER","EN TIEMPO")))))</f>
        <v>EN TIEMPO</v>
      </c>
      <c r="N765" s="23" t="s">
        <v>174</v>
      </c>
      <c r="P765" s="23" t="s">
        <v>1462</v>
      </c>
      <c r="Q765" s="28"/>
    </row>
    <row r="766" spans="1:17" ht="16.5" x14ac:dyDescent="0.3">
      <c r="A766" s="23" t="s">
        <v>1464</v>
      </c>
      <c r="B766" s="23" t="s">
        <v>54</v>
      </c>
      <c r="C766" s="23" t="s">
        <v>1465</v>
      </c>
      <c r="D766" s="24">
        <v>46284</v>
      </c>
      <c r="E766" s="25">
        <v>1</v>
      </c>
      <c r="F766" s="24">
        <v>46284</v>
      </c>
      <c r="G766" s="23" t="s">
        <v>180</v>
      </c>
      <c r="H766" s="26">
        <v>14</v>
      </c>
      <c r="I766" s="24">
        <f t="shared" si="36"/>
        <v>46298</v>
      </c>
      <c r="J766" s="26">
        <f t="shared" ca="1" si="34"/>
        <v>-6</v>
      </c>
      <c r="K766" s="26">
        <f t="shared" ca="1" si="35"/>
        <v>6</v>
      </c>
      <c r="L766" s="27"/>
      <c r="M766" s="26" t="str">
        <f ca="1">IF(L766&lt;&gt;"","Entregado",IF(NOT(ISNUMBER(IF(Q766&lt;&gt;"",Q766,I766))),"REVISAR TE",IF(AND(ISNUMBER(Resumen!$B$3),IF(Q766&lt;&gt;"",Q766,I766)&lt;Resumen!$B$3),"REVISAR",IF(IF(Q766&lt;&gt;"",Q766,I766)&lt;TODAY(),"ATRASADO",IF(IF(Q766&lt;&gt;"",Q766,I766)-TODAY()&lt;=2,"POR VENCER","EN TIEMPO")))))</f>
        <v>ATRASADO</v>
      </c>
      <c r="N766" s="23" t="s">
        <v>165</v>
      </c>
      <c r="P766" s="23" t="s">
        <v>1466</v>
      </c>
      <c r="Q766" s="28"/>
    </row>
    <row r="767" spans="1:17" ht="16.5" x14ac:dyDescent="0.3">
      <c r="A767" s="23" t="s">
        <v>1467</v>
      </c>
      <c r="B767" s="23" t="s">
        <v>52</v>
      </c>
      <c r="C767" s="23" t="s">
        <v>1468</v>
      </c>
      <c r="D767" s="24">
        <v>46284</v>
      </c>
      <c r="E767" s="25">
        <v>40</v>
      </c>
      <c r="F767" s="24">
        <v>46284</v>
      </c>
      <c r="G767" s="23" t="s">
        <v>137</v>
      </c>
      <c r="H767" s="26">
        <v>28</v>
      </c>
      <c r="I767" s="24">
        <f t="shared" si="36"/>
        <v>46312</v>
      </c>
      <c r="J767" s="26">
        <f t="shared" ca="1" si="34"/>
        <v>8</v>
      </c>
      <c r="K767" s="26" t="str">
        <f t="shared" ca="1" si="35"/>
        <v/>
      </c>
      <c r="L767" s="27"/>
      <c r="M767" s="26" t="str">
        <f ca="1">IF(L767&lt;&gt;"","Entregado",IF(NOT(ISNUMBER(IF(Q767&lt;&gt;"",Q767,I767))),"REVISAR TE",IF(AND(ISNUMBER(Resumen!$B$3),IF(Q767&lt;&gt;"",Q767,I767)&lt;Resumen!$B$3),"REVISAR",IF(IF(Q767&lt;&gt;"",Q767,I767)&lt;TODAY(),"ATRASADO",IF(IF(Q767&lt;&gt;"",Q767,I767)-TODAY()&lt;=2,"POR VENCER","EN TIEMPO")))))</f>
        <v>EN TIEMPO</v>
      </c>
      <c r="N767" s="23" t="s">
        <v>388</v>
      </c>
      <c r="P767" s="23" t="s">
        <v>1469</v>
      </c>
      <c r="Q767" s="28"/>
    </row>
    <row r="768" spans="1:17" ht="16.5" x14ac:dyDescent="0.3">
      <c r="A768" s="23" t="s">
        <v>1470</v>
      </c>
      <c r="B768" s="23" t="s">
        <v>52</v>
      </c>
      <c r="C768" s="23" t="s">
        <v>1471</v>
      </c>
      <c r="D768" s="24">
        <v>46284</v>
      </c>
      <c r="E768" s="25">
        <v>1</v>
      </c>
      <c r="F768" s="24">
        <v>46284</v>
      </c>
      <c r="G768" s="23" t="s">
        <v>93</v>
      </c>
      <c r="H768" s="26">
        <v>28</v>
      </c>
      <c r="I768" s="24">
        <f t="shared" si="36"/>
        <v>46312</v>
      </c>
      <c r="J768" s="26">
        <f t="shared" ca="1" si="34"/>
        <v>8</v>
      </c>
      <c r="K768" s="26" t="str">
        <f t="shared" ca="1" si="35"/>
        <v/>
      </c>
      <c r="L768" s="27"/>
      <c r="M768" s="26" t="str">
        <f ca="1">IF(L768&lt;&gt;"","Entregado",IF(NOT(ISNUMBER(IF(Q768&lt;&gt;"",Q768,I768))),"REVISAR TE",IF(AND(ISNUMBER(Resumen!$B$3),IF(Q768&lt;&gt;"",Q768,I768)&lt;Resumen!$B$3),"REVISAR",IF(IF(Q768&lt;&gt;"",Q768,I768)&lt;TODAY(),"ATRASADO",IF(IF(Q768&lt;&gt;"",Q768,I768)-TODAY()&lt;=2,"POR VENCER","EN TIEMPO")))))</f>
        <v>EN TIEMPO</v>
      </c>
      <c r="N768" s="23" t="s">
        <v>508</v>
      </c>
      <c r="P768" s="23" t="s">
        <v>1472</v>
      </c>
      <c r="Q768" s="28"/>
    </row>
    <row r="769" spans="1:17" ht="16.5" x14ac:dyDescent="0.3">
      <c r="A769" s="23" t="s">
        <v>1470</v>
      </c>
      <c r="B769" s="23" t="s">
        <v>52</v>
      </c>
      <c r="C769" s="23" t="s">
        <v>1473</v>
      </c>
      <c r="D769" s="24">
        <v>46284</v>
      </c>
      <c r="E769" s="25">
        <v>1</v>
      </c>
      <c r="F769" s="24">
        <v>46284</v>
      </c>
      <c r="G769" s="23" t="s">
        <v>93</v>
      </c>
      <c r="H769" s="26">
        <v>28</v>
      </c>
      <c r="I769" s="24">
        <f t="shared" si="36"/>
        <v>46312</v>
      </c>
      <c r="J769" s="26">
        <f t="shared" ca="1" si="34"/>
        <v>8</v>
      </c>
      <c r="K769" s="26" t="str">
        <f t="shared" ca="1" si="35"/>
        <v/>
      </c>
      <c r="L769" s="27"/>
      <c r="M769" s="26" t="str">
        <f ca="1">IF(L769&lt;&gt;"","Entregado",IF(NOT(ISNUMBER(IF(Q769&lt;&gt;"",Q769,I769))),"REVISAR TE",IF(AND(ISNUMBER(Resumen!$B$3),IF(Q769&lt;&gt;"",Q769,I769)&lt;Resumen!$B$3),"REVISAR",IF(IF(Q769&lt;&gt;"",Q769,I769)&lt;TODAY(),"ATRASADO",IF(IF(Q769&lt;&gt;"",Q769,I769)-TODAY()&lt;=2,"POR VENCER","EN TIEMPO")))))</f>
        <v>EN TIEMPO</v>
      </c>
      <c r="N769" s="23" t="s">
        <v>508</v>
      </c>
      <c r="P769" s="23" t="s">
        <v>1472</v>
      </c>
      <c r="Q769" s="28"/>
    </row>
    <row r="770" spans="1:17" ht="16.5" x14ac:dyDescent="0.3">
      <c r="A770" s="23" t="s">
        <v>1470</v>
      </c>
      <c r="B770" s="23" t="s">
        <v>52</v>
      </c>
      <c r="C770" s="23" t="s">
        <v>1474</v>
      </c>
      <c r="D770" s="24">
        <v>46284</v>
      </c>
      <c r="E770" s="25">
        <v>1</v>
      </c>
      <c r="F770" s="24">
        <v>46284</v>
      </c>
      <c r="G770" s="23" t="s">
        <v>93</v>
      </c>
      <c r="H770" s="26">
        <v>28</v>
      </c>
      <c r="I770" s="24">
        <f t="shared" si="36"/>
        <v>46312</v>
      </c>
      <c r="J770" s="26">
        <f t="shared" ref="J770:J783" ca="1" si="37">I770-TODAY()</f>
        <v>8</v>
      </c>
      <c r="K770" s="26" t="str">
        <f t="shared" ref="K770:K833" ca="1" si="38">IF(AND(L770="",ISNUMBER(IF(Q770&lt;&gt;"",Q770,I770))),IF(IF(Q770&lt;&gt;"",Q770,I770)&lt;TODAY(),TODAY()-IF(Q770&lt;&gt;"",Q770,I770),""),"")</f>
        <v/>
      </c>
      <c r="L770" s="27"/>
      <c r="M770" s="26" t="str">
        <f ca="1">IF(L770&lt;&gt;"","Entregado",IF(NOT(ISNUMBER(IF(Q770&lt;&gt;"",Q770,I770))),"REVISAR TE",IF(AND(ISNUMBER(Resumen!$B$3),IF(Q770&lt;&gt;"",Q770,I770)&lt;Resumen!$B$3),"REVISAR",IF(IF(Q770&lt;&gt;"",Q770,I770)&lt;TODAY(),"ATRASADO",IF(IF(Q770&lt;&gt;"",Q770,I770)-TODAY()&lt;=2,"POR VENCER","EN TIEMPO")))))</f>
        <v>EN TIEMPO</v>
      </c>
      <c r="N770" s="23" t="s">
        <v>508</v>
      </c>
      <c r="P770" s="23" t="s">
        <v>1472</v>
      </c>
      <c r="Q770" s="28"/>
    </row>
    <row r="771" spans="1:17" ht="16.5" x14ac:dyDescent="0.3">
      <c r="A771" s="23" t="s">
        <v>1470</v>
      </c>
      <c r="B771" s="23" t="s">
        <v>52</v>
      </c>
      <c r="C771" s="23" t="s">
        <v>1475</v>
      </c>
      <c r="D771" s="24">
        <v>46284</v>
      </c>
      <c r="E771" s="25">
        <v>1</v>
      </c>
      <c r="F771" s="24">
        <v>46284</v>
      </c>
      <c r="G771" s="23" t="s">
        <v>93</v>
      </c>
      <c r="H771" s="26">
        <v>28</v>
      </c>
      <c r="I771" s="24">
        <f t="shared" si="36"/>
        <v>46312</v>
      </c>
      <c r="J771" s="26">
        <f t="shared" ca="1" si="37"/>
        <v>8</v>
      </c>
      <c r="K771" s="26" t="str">
        <f t="shared" ca="1" si="38"/>
        <v/>
      </c>
      <c r="L771" s="27"/>
      <c r="M771" s="26" t="str">
        <f ca="1">IF(L771&lt;&gt;"","Entregado",IF(NOT(ISNUMBER(IF(Q771&lt;&gt;"",Q771,I771))),"REVISAR TE",IF(AND(ISNUMBER(Resumen!$B$3),IF(Q771&lt;&gt;"",Q771,I771)&lt;Resumen!$B$3),"REVISAR",IF(IF(Q771&lt;&gt;"",Q771,I771)&lt;TODAY(),"ATRASADO",IF(IF(Q771&lt;&gt;"",Q771,I771)-TODAY()&lt;=2,"POR VENCER","EN TIEMPO")))))</f>
        <v>EN TIEMPO</v>
      </c>
      <c r="N771" s="23" t="s">
        <v>508</v>
      </c>
      <c r="P771" s="23" t="s">
        <v>1472</v>
      </c>
      <c r="Q771" s="28"/>
    </row>
    <row r="772" spans="1:17" ht="16.5" x14ac:dyDescent="0.3">
      <c r="A772" s="23" t="s">
        <v>1470</v>
      </c>
      <c r="B772" s="23" t="s">
        <v>52</v>
      </c>
      <c r="C772" s="23" t="s">
        <v>1476</v>
      </c>
      <c r="D772" s="24">
        <v>46284</v>
      </c>
      <c r="E772" s="25">
        <v>1</v>
      </c>
      <c r="F772" s="24">
        <v>46284</v>
      </c>
      <c r="G772" s="23" t="s">
        <v>93</v>
      </c>
      <c r="H772" s="26">
        <v>28</v>
      </c>
      <c r="I772" s="24">
        <f t="shared" si="36"/>
        <v>46312</v>
      </c>
      <c r="J772" s="26">
        <f t="shared" ca="1" si="37"/>
        <v>8</v>
      </c>
      <c r="K772" s="26" t="str">
        <f t="shared" ca="1" si="38"/>
        <v/>
      </c>
      <c r="L772" s="27"/>
      <c r="M772" s="26" t="str">
        <f ca="1">IF(L772&lt;&gt;"","Entregado",IF(NOT(ISNUMBER(IF(Q772&lt;&gt;"",Q772,I772))),"REVISAR TE",IF(AND(ISNUMBER(Resumen!$B$3),IF(Q772&lt;&gt;"",Q772,I772)&lt;Resumen!$B$3),"REVISAR",IF(IF(Q772&lt;&gt;"",Q772,I772)&lt;TODAY(),"ATRASADO",IF(IF(Q772&lt;&gt;"",Q772,I772)-TODAY()&lt;=2,"POR VENCER","EN TIEMPO")))))</f>
        <v>EN TIEMPO</v>
      </c>
      <c r="N772" s="23" t="s">
        <v>508</v>
      </c>
      <c r="P772" s="23" t="s">
        <v>1472</v>
      </c>
      <c r="Q772" s="28"/>
    </row>
    <row r="773" spans="1:17" ht="16.5" x14ac:dyDescent="0.3">
      <c r="A773" s="23" t="s">
        <v>1470</v>
      </c>
      <c r="B773" s="23" t="s">
        <v>52</v>
      </c>
      <c r="C773" s="23" t="s">
        <v>1477</v>
      </c>
      <c r="D773" s="24">
        <v>46284</v>
      </c>
      <c r="E773" s="25">
        <v>1</v>
      </c>
      <c r="F773" s="24">
        <v>46284</v>
      </c>
      <c r="G773" s="23" t="s">
        <v>93</v>
      </c>
      <c r="H773" s="26">
        <v>28</v>
      </c>
      <c r="I773" s="24">
        <f t="shared" si="36"/>
        <v>46312</v>
      </c>
      <c r="J773" s="26">
        <f t="shared" ca="1" si="37"/>
        <v>8</v>
      </c>
      <c r="K773" s="26" t="str">
        <f t="shared" ca="1" si="38"/>
        <v/>
      </c>
      <c r="L773" s="27"/>
      <c r="M773" s="26" t="str">
        <f ca="1">IF(L773&lt;&gt;"","Entregado",IF(NOT(ISNUMBER(IF(Q773&lt;&gt;"",Q773,I773))),"REVISAR TE",IF(AND(ISNUMBER(Resumen!$B$3),IF(Q773&lt;&gt;"",Q773,I773)&lt;Resumen!$B$3),"REVISAR",IF(IF(Q773&lt;&gt;"",Q773,I773)&lt;TODAY(),"ATRASADO",IF(IF(Q773&lt;&gt;"",Q773,I773)-TODAY()&lt;=2,"POR VENCER","EN TIEMPO")))))</f>
        <v>EN TIEMPO</v>
      </c>
      <c r="N773" s="23" t="s">
        <v>508</v>
      </c>
      <c r="P773" s="23" t="s">
        <v>1472</v>
      </c>
      <c r="Q773" s="28"/>
    </row>
    <row r="774" spans="1:17" ht="16.5" x14ac:dyDescent="0.3">
      <c r="A774" s="23" t="s">
        <v>1470</v>
      </c>
      <c r="B774" s="23" t="s">
        <v>52</v>
      </c>
      <c r="C774" s="23" t="s">
        <v>1478</v>
      </c>
      <c r="D774" s="24">
        <v>46284</v>
      </c>
      <c r="E774" s="25">
        <v>1</v>
      </c>
      <c r="F774" s="24">
        <v>46284</v>
      </c>
      <c r="G774" s="23" t="s">
        <v>93</v>
      </c>
      <c r="H774" s="26">
        <v>28</v>
      </c>
      <c r="I774" s="24">
        <f t="shared" si="36"/>
        <v>46312</v>
      </c>
      <c r="J774" s="26">
        <f t="shared" ca="1" si="37"/>
        <v>8</v>
      </c>
      <c r="K774" s="26" t="str">
        <f t="shared" ca="1" si="38"/>
        <v/>
      </c>
      <c r="L774" s="27"/>
      <c r="M774" s="26" t="str">
        <f ca="1">IF(L774&lt;&gt;"","Entregado",IF(NOT(ISNUMBER(IF(Q774&lt;&gt;"",Q774,I774))),"REVISAR TE",IF(AND(ISNUMBER(Resumen!$B$3),IF(Q774&lt;&gt;"",Q774,I774)&lt;Resumen!$B$3),"REVISAR",IF(IF(Q774&lt;&gt;"",Q774,I774)&lt;TODAY(),"ATRASADO",IF(IF(Q774&lt;&gt;"",Q774,I774)-TODAY()&lt;=2,"POR VENCER","EN TIEMPO")))))</f>
        <v>EN TIEMPO</v>
      </c>
      <c r="N774" s="23" t="s">
        <v>508</v>
      </c>
      <c r="P774" s="23" t="s">
        <v>1472</v>
      </c>
      <c r="Q774" s="28"/>
    </row>
    <row r="775" spans="1:17" ht="16.5" x14ac:dyDescent="0.3">
      <c r="A775" s="23" t="s">
        <v>1470</v>
      </c>
      <c r="B775" s="23" t="s">
        <v>52</v>
      </c>
      <c r="C775" s="23" t="s">
        <v>1479</v>
      </c>
      <c r="D775" s="24">
        <v>46284</v>
      </c>
      <c r="E775" s="25">
        <v>1</v>
      </c>
      <c r="F775" s="24">
        <v>46284</v>
      </c>
      <c r="G775" s="23" t="s">
        <v>93</v>
      </c>
      <c r="H775" s="26">
        <v>28</v>
      </c>
      <c r="I775" s="24">
        <f t="shared" si="36"/>
        <v>46312</v>
      </c>
      <c r="J775" s="26">
        <f t="shared" ca="1" si="37"/>
        <v>8</v>
      </c>
      <c r="K775" s="26" t="str">
        <f t="shared" ca="1" si="38"/>
        <v/>
      </c>
      <c r="L775" s="27"/>
      <c r="M775" s="26" t="str">
        <f ca="1">IF(L775&lt;&gt;"","Entregado",IF(NOT(ISNUMBER(IF(Q775&lt;&gt;"",Q775,I775))),"REVISAR TE",IF(AND(ISNUMBER(Resumen!$B$3),IF(Q775&lt;&gt;"",Q775,I775)&lt;Resumen!$B$3),"REVISAR",IF(IF(Q775&lt;&gt;"",Q775,I775)&lt;TODAY(),"ATRASADO",IF(IF(Q775&lt;&gt;"",Q775,I775)-TODAY()&lt;=2,"POR VENCER","EN TIEMPO")))))</f>
        <v>EN TIEMPO</v>
      </c>
      <c r="N775" s="23" t="s">
        <v>508</v>
      </c>
      <c r="P775" s="23" t="s">
        <v>1472</v>
      </c>
      <c r="Q775" s="28"/>
    </row>
    <row r="776" spans="1:17" ht="16.5" x14ac:dyDescent="0.3">
      <c r="A776" s="23" t="s">
        <v>1470</v>
      </c>
      <c r="B776" s="23" t="s">
        <v>52</v>
      </c>
      <c r="C776" s="23" t="s">
        <v>1480</v>
      </c>
      <c r="D776" s="24">
        <v>46284</v>
      </c>
      <c r="E776" s="25">
        <v>1</v>
      </c>
      <c r="F776" s="24">
        <v>46284</v>
      </c>
      <c r="G776" s="23" t="s">
        <v>93</v>
      </c>
      <c r="H776" s="26">
        <v>28</v>
      </c>
      <c r="I776" s="24">
        <f t="shared" si="36"/>
        <v>46312</v>
      </c>
      <c r="J776" s="26">
        <f t="shared" ca="1" si="37"/>
        <v>8</v>
      </c>
      <c r="K776" s="26" t="str">
        <f t="shared" ca="1" si="38"/>
        <v/>
      </c>
      <c r="L776" s="27"/>
      <c r="M776" s="26" t="str">
        <f ca="1">IF(L776&lt;&gt;"","Entregado",IF(NOT(ISNUMBER(IF(Q776&lt;&gt;"",Q776,I776))),"REVISAR TE",IF(AND(ISNUMBER(Resumen!$B$3),IF(Q776&lt;&gt;"",Q776,I776)&lt;Resumen!$B$3),"REVISAR",IF(IF(Q776&lt;&gt;"",Q776,I776)&lt;TODAY(),"ATRASADO",IF(IF(Q776&lt;&gt;"",Q776,I776)-TODAY()&lt;=2,"POR VENCER","EN TIEMPO")))))</f>
        <v>EN TIEMPO</v>
      </c>
      <c r="N776" s="23" t="s">
        <v>508</v>
      </c>
      <c r="P776" s="23" t="s">
        <v>1472</v>
      </c>
      <c r="Q776" s="28"/>
    </row>
    <row r="777" spans="1:17" ht="16.5" x14ac:dyDescent="0.3">
      <c r="A777" s="23" t="s">
        <v>1470</v>
      </c>
      <c r="B777" s="23" t="s">
        <v>52</v>
      </c>
      <c r="C777" s="23" t="s">
        <v>1481</v>
      </c>
      <c r="D777" s="24">
        <v>46284</v>
      </c>
      <c r="E777" s="25">
        <v>1</v>
      </c>
      <c r="F777" s="24">
        <v>46284</v>
      </c>
      <c r="G777" s="23" t="s">
        <v>93</v>
      </c>
      <c r="H777" s="26">
        <v>28</v>
      </c>
      <c r="I777" s="24">
        <f t="shared" ref="I777:I840" si="39">IF(AND(D777&lt;&gt;"",H777&lt;&gt;""),D777+H777,"")</f>
        <v>46312</v>
      </c>
      <c r="J777" s="26">
        <f t="shared" ca="1" si="37"/>
        <v>8</v>
      </c>
      <c r="K777" s="26" t="str">
        <f t="shared" ca="1" si="38"/>
        <v/>
      </c>
      <c r="L777" s="27"/>
      <c r="M777" s="26" t="str">
        <f ca="1">IF(L777&lt;&gt;"","Entregado",IF(NOT(ISNUMBER(IF(Q777&lt;&gt;"",Q777,I777))),"REVISAR TE",IF(AND(ISNUMBER(Resumen!$B$3),IF(Q777&lt;&gt;"",Q777,I777)&lt;Resumen!$B$3),"REVISAR",IF(IF(Q777&lt;&gt;"",Q777,I777)&lt;TODAY(),"ATRASADO",IF(IF(Q777&lt;&gt;"",Q777,I777)-TODAY()&lt;=2,"POR VENCER","EN TIEMPO")))))</f>
        <v>EN TIEMPO</v>
      </c>
      <c r="N777" s="23" t="s">
        <v>508</v>
      </c>
      <c r="P777" s="23" t="s">
        <v>1472</v>
      </c>
      <c r="Q777" s="28"/>
    </row>
    <row r="778" spans="1:17" ht="16.5" x14ac:dyDescent="0.3">
      <c r="A778" s="23" t="s">
        <v>1470</v>
      </c>
      <c r="B778" s="23" t="s">
        <v>52</v>
      </c>
      <c r="C778" s="23" t="s">
        <v>1482</v>
      </c>
      <c r="D778" s="24">
        <v>46284</v>
      </c>
      <c r="E778" s="25">
        <v>1</v>
      </c>
      <c r="F778" s="24">
        <v>46284</v>
      </c>
      <c r="G778" s="23" t="s">
        <v>93</v>
      </c>
      <c r="H778" s="26">
        <v>28</v>
      </c>
      <c r="I778" s="24">
        <f t="shared" si="39"/>
        <v>46312</v>
      </c>
      <c r="J778" s="26">
        <f t="shared" ca="1" si="37"/>
        <v>8</v>
      </c>
      <c r="K778" s="26" t="str">
        <f t="shared" ca="1" si="38"/>
        <v/>
      </c>
      <c r="L778" s="27"/>
      <c r="M778" s="26" t="str">
        <f ca="1">IF(L778&lt;&gt;"","Entregado",IF(NOT(ISNUMBER(IF(Q778&lt;&gt;"",Q778,I778))),"REVISAR TE",IF(AND(ISNUMBER(Resumen!$B$3),IF(Q778&lt;&gt;"",Q778,I778)&lt;Resumen!$B$3),"REVISAR",IF(IF(Q778&lt;&gt;"",Q778,I778)&lt;TODAY(),"ATRASADO",IF(IF(Q778&lt;&gt;"",Q778,I778)-TODAY()&lt;=2,"POR VENCER","EN TIEMPO")))))</f>
        <v>EN TIEMPO</v>
      </c>
      <c r="N778" s="23" t="s">
        <v>508</v>
      </c>
      <c r="P778" s="23" t="s">
        <v>1472</v>
      </c>
      <c r="Q778" s="28"/>
    </row>
    <row r="779" spans="1:17" ht="16.5" x14ac:dyDescent="0.3">
      <c r="A779" s="23" t="s">
        <v>1470</v>
      </c>
      <c r="B779" s="23" t="s">
        <v>52</v>
      </c>
      <c r="C779" s="23" t="s">
        <v>1483</v>
      </c>
      <c r="D779" s="24">
        <v>46284</v>
      </c>
      <c r="E779" s="25">
        <v>1</v>
      </c>
      <c r="F779" s="24">
        <v>46284</v>
      </c>
      <c r="G779" s="23" t="s">
        <v>93</v>
      </c>
      <c r="H779" s="26">
        <v>28</v>
      </c>
      <c r="I779" s="24">
        <f t="shared" si="39"/>
        <v>46312</v>
      </c>
      <c r="J779" s="26">
        <f t="shared" ca="1" si="37"/>
        <v>8</v>
      </c>
      <c r="K779" s="26" t="str">
        <f t="shared" ca="1" si="38"/>
        <v/>
      </c>
      <c r="L779" s="27"/>
      <c r="M779" s="26" t="str">
        <f ca="1">IF(L779&lt;&gt;"","Entregado",IF(NOT(ISNUMBER(IF(Q779&lt;&gt;"",Q779,I779))),"REVISAR TE",IF(AND(ISNUMBER(Resumen!$B$3),IF(Q779&lt;&gt;"",Q779,I779)&lt;Resumen!$B$3),"REVISAR",IF(IF(Q779&lt;&gt;"",Q779,I779)&lt;TODAY(),"ATRASADO",IF(IF(Q779&lt;&gt;"",Q779,I779)-TODAY()&lt;=2,"POR VENCER","EN TIEMPO")))))</f>
        <v>EN TIEMPO</v>
      </c>
      <c r="N779" s="23" t="s">
        <v>508</v>
      </c>
      <c r="P779" s="23" t="s">
        <v>1472</v>
      </c>
      <c r="Q779" s="28"/>
    </row>
    <row r="780" spans="1:17" ht="16.5" x14ac:dyDescent="0.3">
      <c r="A780" s="23" t="s">
        <v>1470</v>
      </c>
      <c r="B780" s="23" t="s">
        <v>52</v>
      </c>
      <c r="C780" s="23" t="s">
        <v>1484</v>
      </c>
      <c r="D780" s="24">
        <v>46284</v>
      </c>
      <c r="E780" s="25">
        <v>1</v>
      </c>
      <c r="F780" s="24">
        <v>46284</v>
      </c>
      <c r="G780" s="23" t="s">
        <v>93</v>
      </c>
      <c r="H780" s="26">
        <v>28</v>
      </c>
      <c r="I780" s="24">
        <f t="shared" si="39"/>
        <v>46312</v>
      </c>
      <c r="J780" s="26">
        <f t="shared" ca="1" si="37"/>
        <v>8</v>
      </c>
      <c r="K780" s="26" t="str">
        <f t="shared" ca="1" si="38"/>
        <v/>
      </c>
      <c r="L780" s="27"/>
      <c r="M780" s="26" t="str">
        <f ca="1">IF(L780&lt;&gt;"","Entregado",IF(NOT(ISNUMBER(IF(Q780&lt;&gt;"",Q780,I780))),"REVISAR TE",IF(AND(ISNUMBER(Resumen!$B$3),IF(Q780&lt;&gt;"",Q780,I780)&lt;Resumen!$B$3),"REVISAR",IF(IF(Q780&lt;&gt;"",Q780,I780)&lt;TODAY(),"ATRASADO",IF(IF(Q780&lt;&gt;"",Q780,I780)-TODAY()&lt;=2,"POR VENCER","EN TIEMPO")))))</f>
        <v>EN TIEMPO</v>
      </c>
      <c r="N780" s="23" t="s">
        <v>508</v>
      </c>
      <c r="P780" s="23" t="s">
        <v>1472</v>
      </c>
      <c r="Q780" s="28"/>
    </row>
    <row r="781" spans="1:17" ht="16.5" x14ac:dyDescent="0.3">
      <c r="A781" s="23" t="s">
        <v>1485</v>
      </c>
      <c r="B781" s="23" t="s">
        <v>56</v>
      </c>
      <c r="C781" s="23" t="s">
        <v>1486</v>
      </c>
      <c r="D781" s="24">
        <v>46286</v>
      </c>
      <c r="E781" s="25">
        <v>1</v>
      </c>
      <c r="F781" s="24">
        <v>46286</v>
      </c>
      <c r="G781" s="23" t="s">
        <v>88</v>
      </c>
      <c r="H781" s="26">
        <v>0</v>
      </c>
      <c r="I781" s="24">
        <f t="shared" si="39"/>
        <v>46286</v>
      </c>
      <c r="J781" s="26">
        <f t="shared" ca="1" si="37"/>
        <v>-18</v>
      </c>
      <c r="K781" s="26" t="str">
        <f t="shared" ca="1" si="38"/>
        <v/>
      </c>
      <c r="L781" s="27"/>
      <c r="M781" s="26" t="str">
        <f ca="1">IF(L781&lt;&gt;"","Entregado",IF(NOT(ISNUMBER(IF(Q781&lt;&gt;"",Q781,I781))),"REVISAR TE",IF(AND(ISNUMBER(Resumen!$B$3),IF(Q781&lt;&gt;"",Q781,I781)&lt;Resumen!$B$3),"REVISAR",IF(IF(Q781&lt;&gt;"",Q781,I781)&lt;TODAY(),"ATRASADO",IF(IF(Q781&lt;&gt;"",Q781,I781)-TODAY()&lt;=2,"POR VENCER","EN TIEMPO")))))</f>
        <v>POR VENCER</v>
      </c>
      <c r="N781" s="23" t="s">
        <v>1284</v>
      </c>
      <c r="P781" s="23" t="s">
        <v>1487</v>
      </c>
      <c r="Q781" s="28">
        <v>46305</v>
      </c>
    </row>
    <row r="782" spans="1:17" ht="16.5" x14ac:dyDescent="0.3">
      <c r="A782" s="23" t="s">
        <v>1488</v>
      </c>
      <c r="B782" s="23" t="s">
        <v>54</v>
      </c>
      <c r="C782" s="23" t="s">
        <v>1489</v>
      </c>
      <c r="D782" s="24">
        <v>46287</v>
      </c>
      <c r="E782" s="25">
        <v>1</v>
      </c>
      <c r="F782" s="24">
        <v>46287</v>
      </c>
      <c r="G782" s="23" t="s">
        <v>180</v>
      </c>
      <c r="H782" s="26">
        <v>14</v>
      </c>
      <c r="I782" s="24">
        <f t="shared" si="39"/>
        <v>46301</v>
      </c>
      <c r="J782" s="26">
        <f t="shared" ca="1" si="37"/>
        <v>-3</v>
      </c>
      <c r="K782" s="26" t="str">
        <f t="shared" ca="1" si="38"/>
        <v/>
      </c>
      <c r="L782" s="27"/>
      <c r="M782" s="26" t="str">
        <f ca="1">IF(L782&lt;&gt;"","Entregado",IF(NOT(ISNUMBER(IF(Q782&lt;&gt;"",Q782,I782))),"REVISAR TE",IF(AND(ISNUMBER(Resumen!$B$3),IF(Q782&lt;&gt;"",Q782,I782)&lt;Resumen!$B$3),"REVISAR",IF(IF(Q782&lt;&gt;"",Q782,I782)&lt;TODAY(),"ATRASADO",IF(IF(Q782&lt;&gt;"",Q782,I782)-TODAY()&lt;=2,"POR VENCER","EN TIEMPO")))))</f>
        <v>POR VENCER</v>
      </c>
      <c r="N782" s="23" t="s">
        <v>165</v>
      </c>
      <c r="P782" s="23" t="s">
        <v>1490</v>
      </c>
      <c r="Q782" s="28">
        <v>46305</v>
      </c>
    </row>
    <row r="783" spans="1:17" ht="16.5" x14ac:dyDescent="0.3">
      <c r="A783" s="23" t="s">
        <v>1488</v>
      </c>
      <c r="B783" s="23" t="s">
        <v>54</v>
      </c>
      <c r="C783" s="23" t="s">
        <v>1491</v>
      </c>
      <c r="D783" s="24">
        <v>46287</v>
      </c>
      <c r="E783" s="25">
        <v>1</v>
      </c>
      <c r="F783" s="24">
        <v>46287</v>
      </c>
      <c r="G783" s="23" t="s">
        <v>180</v>
      </c>
      <c r="H783" s="26">
        <v>14</v>
      </c>
      <c r="I783" s="24">
        <f t="shared" si="39"/>
        <v>46301</v>
      </c>
      <c r="J783" s="26">
        <f t="shared" ca="1" si="37"/>
        <v>-3</v>
      </c>
      <c r="K783" s="26" t="str">
        <f t="shared" ca="1" si="38"/>
        <v/>
      </c>
      <c r="L783" s="27"/>
      <c r="M783" s="26" t="str">
        <f ca="1">IF(L783&lt;&gt;"","Entregado",IF(NOT(ISNUMBER(IF(Q783&lt;&gt;"",Q783,I783))),"REVISAR TE",IF(AND(ISNUMBER(Resumen!$B$3),IF(Q783&lt;&gt;"",Q783,I783)&lt;Resumen!$B$3),"REVISAR",IF(IF(Q783&lt;&gt;"",Q783,I783)&lt;TODAY(),"ATRASADO",IF(IF(Q783&lt;&gt;"",Q783,I783)-TODAY()&lt;=2,"POR VENCER","EN TIEMPO")))))</f>
        <v>POR VENCER</v>
      </c>
      <c r="N783" s="23" t="s">
        <v>165</v>
      </c>
      <c r="P783" s="23" t="s">
        <v>1490</v>
      </c>
      <c r="Q783" s="28">
        <v>46305</v>
      </c>
    </row>
    <row r="784" spans="1:17" ht="16.5" x14ac:dyDescent="0.3">
      <c r="A784" s="23" t="s">
        <v>1488</v>
      </c>
      <c r="B784" s="23" t="s">
        <v>54</v>
      </c>
      <c r="C784" s="23" t="s">
        <v>1492</v>
      </c>
      <c r="D784" s="24">
        <v>46287</v>
      </c>
      <c r="E784" s="25">
        <v>1</v>
      </c>
      <c r="F784" s="24">
        <v>46287</v>
      </c>
      <c r="G784" s="23" t="s">
        <v>180</v>
      </c>
      <c r="H784" s="26">
        <v>14</v>
      </c>
      <c r="I784" s="24">
        <f t="shared" si="39"/>
        <v>46301</v>
      </c>
      <c r="J784" s="26">
        <f t="shared" ref="J784:J790" ca="1" si="40">I784-TODAY()</f>
        <v>-3</v>
      </c>
      <c r="K784" s="26" t="str">
        <f t="shared" ca="1" si="38"/>
        <v/>
      </c>
      <c r="L784" s="27"/>
      <c r="M784" s="26" t="str">
        <f ca="1">IF(L784&lt;&gt;"","Entregado",IF(NOT(ISNUMBER(IF(Q784&lt;&gt;"",Q784,I784))),"REVISAR TE",IF(AND(ISNUMBER(Resumen!$B$3),IF(Q784&lt;&gt;"",Q784,I784)&lt;Resumen!$B$3),"REVISAR",IF(IF(Q784&lt;&gt;"",Q784,I784)&lt;TODAY(),"ATRASADO",IF(IF(Q784&lt;&gt;"",Q784,I784)-TODAY()&lt;=2,"POR VENCER","EN TIEMPO")))))</f>
        <v>POR VENCER</v>
      </c>
      <c r="N784" s="23" t="s">
        <v>165</v>
      </c>
      <c r="P784" s="23" t="s">
        <v>1490</v>
      </c>
      <c r="Q784" s="28">
        <v>46305</v>
      </c>
    </row>
    <row r="785" spans="1:17" ht="16.5" x14ac:dyDescent="0.3">
      <c r="A785" s="23" t="s">
        <v>1488</v>
      </c>
      <c r="B785" s="23" t="s">
        <v>54</v>
      </c>
      <c r="C785" s="23" t="s">
        <v>1493</v>
      </c>
      <c r="D785" s="24">
        <v>46287</v>
      </c>
      <c r="E785" s="25">
        <v>1</v>
      </c>
      <c r="F785" s="24">
        <v>46287</v>
      </c>
      <c r="G785" s="23" t="s">
        <v>180</v>
      </c>
      <c r="H785" s="26">
        <v>14</v>
      </c>
      <c r="I785" s="24">
        <f t="shared" si="39"/>
        <v>46301</v>
      </c>
      <c r="J785" s="26">
        <f t="shared" ca="1" si="40"/>
        <v>-3</v>
      </c>
      <c r="K785" s="26" t="str">
        <f t="shared" ca="1" si="38"/>
        <v/>
      </c>
      <c r="L785" s="27"/>
      <c r="M785" s="26" t="str">
        <f ca="1">IF(L785&lt;&gt;"","Entregado",IF(NOT(ISNUMBER(IF(Q785&lt;&gt;"",Q785,I785))),"REVISAR TE",IF(AND(ISNUMBER(Resumen!$B$3),IF(Q785&lt;&gt;"",Q785,I785)&lt;Resumen!$B$3),"REVISAR",IF(IF(Q785&lt;&gt;"",Q785,I785)&lt;TODAY(),"ATRASADO",IF(IF(Q785&lt;&gt;"",Q785,I785)-TODAY()&lt;=2,"POR VENCER","EN TIEMPO")))))</f>
        <v>POR VENCER</v>
      </c>
      <c r="N785" s="23" t="s">
        <v>165</v>
      </c>
      <c r="P785" s="23" t="s">
        <v>1490</v>
      </c>
      <c r="Q785" s="28">
        <v>46305</v>
      </c>
    </row>
    <row r="786" spans="1:17" ht="16.5" x14ac:dyDescent="0.3">
      <c r="A786" s="23" t="s">
        <v>1488</v>
      </c>
      <c r="B786" s="23" t="s">
        <v>54</v>
      </c>
      <c r="C786" s="23" t="s">
        <v>1494</v>
      </c>
      <c r="D786" s="24">
        <v>46287</v>
      </c>
      <c r="E786" s="25">
        <v>1</v>
      </c>
      <c r="F786" s="24">
        <v>46287</v>
      </c>
      <c r="G786" s="23" t="s">
        <v>180</v>
      </c>
      <c r="H786" s="26">
        <v>14</v>
      </c>
      <c r="I786" s="24">
        <f t="shared" si="39"/>
        <v>46301</v>
      </c>
      <c r="J786" s="26">
        <f t="shared" ca="1" si="40"/>
        <v>-3</v>
      </c>
      <c r="K786" s="26" t="str">
        <f t="shared" ca="1" si="38"/>
        <v/>
      </c>
      <c r="L786" s="27"/>
      <c r="M786" s="26" t="str">
        <f ca="1">IF(L786&lt;&gt;"","Entregado",IF(NOT(ISNUMBER(IF(Q786&lt;&gt;"",Q786,I786))),"REVISAR TE",IF(AND(ISNUMBER(Resumen!$B$3),IF(Q786&lt;&gt;"",Q786,I786)&lt;Resumen!$B$3),"REVISAR",IF(IF(Q786&lt;&gt;"",Q786,I786)&lt;TODAY(),"ATRASADO",IF(IF(Q786&lt;&gt;"",Q786,I786)-TODAY()&lt;=2,"POR VENCER","EN TIEMPO")))))</f>
        <v>POR VENCER</v>
      </c>
      <c r="N786" s="23" t="s">
        <v>165</v>
      </c>
      <c r="P786" s="23" t="s">
        <v>1490</v>
      </c>
      <c r="Q786" s="28">
        <v>46305</v>
      </c>
    </row>
    <row r="787" spans="1:17" ht="16.5" x14ac:dyDescent="0.3">
      <c r="A787" s="23" t="s">
        <v>1488</v>
      </c>
      <c r="B787" s="23" t="s">
        <v>54</v>
      </c>
      <c r="C787" s="23" t="s">
        <v>1495</v>
      </c>
      <c r="D787" s="24">
        <v>46287</v>
      </c>
      <c r="E787" s="25">
        <v>1</v>
      </c>
      <c r="F787" s="24">
        <v>46287</v>
      </c>
      <c r="G787" s="23" t="s">
        <v>180</v>
      </c>
      <c r="H787" s="26">
        <v>14</v>
      </c>
      <c r="I787" s="24">
        <f t="shared" si="39"/>
        <v>46301</v>
      </c>
      <c r="J787" s="26">
        <f t="shared" ca="1" si="40"/>
        <v>-3</v>
      </c>
      <c r="K787" s="26" t="str">
        <f t="shared" ca="1" si="38"/>
        <v/>
      </c>
      <c r="L787" s="27"/>
      <c r="M787" s="26" t="str">
        <f ca="1">IF(L787&lt;&gt;"","Entregado",IF(NOT(ISNUMBER(IF(Q787&lt;&gt;"",Q787,I787))),"REVISAR TE",IF(AND(ISNUMBER(Resumen!$B$3),IF(Q787&lt;&gt;"",Q787,I787)&lt;Resumen!$B$3),"REVISAR",IF(IF(Q787&lt;&gt;"",Q787,I787)&lt;TODAY(),"ATRASADO",IF(IF(Q787&lt;&gt;"",Q787,I787)-TODAY()&lt;=2,"POR VENCER","EN TIEMPO")))))</f>
        <v>POR VENCER</v>
      </c>
      <c r="N787" s="23" t="s">
        <v>165</v>
      </c>
      <c r="P787" s="23" t="s">
        <v>1490</v>
      </c>
      <c r="Q787" s="28">
        <v>46305</v>
      </c>
    </row>
    <row r="788" spans="1:17" ht="16.5" x14ac:dyDescent="0.3">
      <c r="A788" s="23" t="s">
        <v>1488</v>
      </c>
      <c r="B788" s="23" t="s">
        <v>54</v>
      </c>
      <c r="C788" s="23" t="s">
        <v>1496</v>
      </c>
      <c r="D788" s="24">
        <v>46287</v>
      </c>
      <c r="E788" s="25">
        <v>1</v>
      </c>
      <c r="F788" s="24">
        <v>46287</v>
      </c>
      <c r="G788" s="23" t="s">
        <v>180</v>
      </c>
      <c r="H788" s="26">
        <v>14</v>
      </c>
      <c r="I788" s="24">
        <f t="shared" si="39"/>
        <v>46301</v>
      </c>
      <c r="J788" s="26">
        <f t="shared" ca="1" si="40"/>
        <v>-3</v>
      </c>
      <c r="K788" s="26" t="str">
        <f t="shared" ca="1" si="38"/>
        <v/>
      </c>
      <c r="L788" s="27"/>
      <c r="M788" s="26" t="str">
        <f ca="1">IF(L788&lt;&gt;"","Entregado",IF(NOT(ISNUMBER(IF(Q788&lt;&gt;"",Q788,I788))),"REVISAR TE",IF(AND(ISNUMBER(Resumen!$B$3),IF(Q788&lt;&gt;"",Q788,I788)&lt;Resumen!$B$3),"REVISAR",IF(IF(Q788&lt;&gt;"",Q788,I788)&lt;TODAY(),"ATRASADO",IF(IF(Q788&lt;&gt;"",Q788,I788)-TODAY()&lt;=2,"POR VENCER","EN TIEMPO")))))</f>
        <v>POR VENCER</v>
      </c>
      <c r="N788" s="23" t="s">
        <v>165</v>
      </c>
      <c r="P788" s="23" t="s">
        <v>1490</v>
      </c>
      <c r="Q788" s="28">
        <v>46305</v>
      </c>
    </row>
    <row r="789" spans="1:17" ht="16.5" x14ac:dyDescent="0.3">
      <c r="A789" s="23" t="s">
        <v>1488</v>
      </c>
      <c r="B789" s="23" t="s">
        <v>54</v>
      </c>
      <c r="C789" s="23" t="s">
        <v>1497</v>
      </c>
      <c r="D789" s="24">
        <v>46287</v>
      </c>
      <c r="E789" s="25">
        <v>1</v>
      </c>
      <c r="F789" s="24">
        <v>46287</v>
      </c>
      <c r="G789" s="23" t="s">
        <v>180</v>
      </c>
      <c r="H789" s="26">
        <v>14</v>
      </c>
      <c r="I789" s="24">
        <f t="shared" si="39"/>
        <v>46301</v>
      </c>
      <c r="J789" s="26">
        <f t="shared" ca="1" si="40"/>
        <v>-3</v>
      </c>
      <c r="K789" s="26" t="str">
        <f t="shared" ca="1" si="38"/>
        <v/>
      </c>
      <c r="L789" s="27"/>
      <c r="M789" s="26" t="str">
        <f ca="1">IF(L789&lt;&gt;"","Entregado",IF(NOT(ISNUMBER(IF(Q789&lt;&gt;"",Q789,I789))),"REVISAR TE",IF(AND(ISNUMBER(Resumen!$B$3),IF(Q789&lt;&gt;"",Q789,I789)&lt;Resumen!$B$3),"REVISAR",IF(IF(Q789&lt;&gt;"",Q789,I789)&lt;TODAY(),"ATRASADO",IF(IF(Q789&lt;&gt;"",Q789,I789)-TODAY()&lt;=2,"POR VENCER","EN TIEMPO")))))</f>
        <v>POR VENCER</v>
      </c>
      <c r="N789" s="23" t="s">
        <v>165</v>
      </c>
      <c r="P789" s="23" t="s">
        <v>1490</v>
      </c>
      <c r="Q789" s="28">
        <v>46305</v>
      </c>
    </row>
    <row r="790" spans="1:17" ht="16.5" x14ac:dyDescent="0.3">
      <c r="A790" s="23" t="s">
        <v>1488</v>
      </c>
      <c r="B790" s="23" t="s">
        <v>54</v>
      </c>
      <c r="C790" s="23" t="s">
        <v>1498</v>
      </c>
      <c r="D790" s="24">
        <v>46287</v>
      </c>
      <c r="E790" s="25">
        <v>1</v>
      </c>
      <c r="F790" s="24">
        <v>46287</v>
      </c>
      <c r="G790" s="23" t="s">
        <v>180</v>
      </c>
      <c r="H790" s="26">
        <v>14</v>
      </c>
      <c r="I790" s="24">
        <f t="shared" si="39"/>
        <v>46301</v>
      </c>
      <c r="J790" s="26">
        <f t="shared" ca="1" si="40"/>
        <v>-3</v>
      </c>
      <c r="K790" s="26" t="str">
        <f t="shared" ref="K790:K826" ca="1" si="41">IF(AND(L790="",ISNUMBER(IF(Q790&lt;&gt;"",Q790,I790))),IF(IF(Q790&lt;&gt;"",Q790,I790)&lt;TODAY(),TODAY()-IF(Q790&lt;&gt;"",Q790,I790),""),"")</f>
        <v/>
      </c>
      <c r="L790" s="27"/>
      <c r="M790" s="26" t="str">
        <f ca="1">IF(L790&lt;&gt;"","Entregado",IF(NOT(ISNUMBER(IF(Q790&lt;&gt;"",Q790,I790))),"REVISAR TE",IF(AND(ISNUMBER(Resumen!$B$3),IF(Q790&lt;&gt;"",Q790,I790)&lt;Resumen!$B$3),"REVISAR",IF(IF(Q790&lt;&gt;"",Q790,I790)&lt;TODAY(),"ATRASADO",IF(IF(Q790&lt;&gt;"",Q790,I790)-TODAY()&lt;=2,"POR VENCER","EN TIEMPO")))))</f>
        <v>POR VENCER</v>
      </c>
      <c r="N790" s="23" t="s">
        <v>165</v>
      </c>
      <c r="P790" s="23" t="s">
        <v>1490</v>
      </c>
      <c r="Q790" s="28">
        <v>46305</v>
      </c>
    </row>
    <row r="791" spans="1:17" ht="16.5" x14ac:dyDescent="0.3">
      <c r="A791" s="23" t="s">
        <v>1499</v>
      </c>
      <c r="B791" s="23" t="s">
        <v>52</v>
      </c>
      <c r="C791" s="23" t="s">
        <v>1500</v>
      </c>
      <c r="D791" s="24">
        <v>46288</v>
      </c>
      <c r="E791" s="25">
        <v>1</v>
      </c>
      <c r="F791" s="24">
        <v>46288</v>
      </c>
      <c r="G791" s="23" t="s">
        <v>180</v>
      </c>
      <c r="H791" s="26">
        <v>14</v>
      </c>
      <c r="I791" s="24">
        <f t="shared" si="39"/>
        <v>46302</v>
      </c>
      <c r="J791" s="26">
        <f t="shared" ref="J791:J799" ca="1" si="42">I791-TODAY()</f>
        <v>-2</v>
      </c>
      <c r="K791" s="26" t="str">
        <f t="shared" ca="1" si="41"/>
        <v/>
      </c>
      <c r="L791" s="27"/>
      <c r="M791" s="26" t="str">
        <f ca="1">IF(L791&lt;&gt;"","Entregado",IF(NOT(ISNUMBER(IF(Q791&lt;&gt;"",Q791,I791))),"REVISAR TE",IF(AND(ISNUMBER(Resumen!$B$3),IF(Q791&lt;&gt;"",Q791,I791)&lt;Resumen!$B$3),"REVISAR",IF(IF(Q791&lt;&gt;"",Q791,I791)&lt;TODAY(),"ATRASADO",IF(IF(Q791&lt;&gt;"",Q791,I791)-TODAY()&lt;=2,"POR VENCER","EN TIEMPO")))))</f>
        <v>POR VENCER</v>
      </c>
      <c r="N791" s="23" t="s">
        <v>672</v>
      </c>
      <c r="P791" s="23" t="s">
        <v>1501</v>
      </c>
      <c r="Q791" s="28">
        <v>46305</v>
      </c>
    </row>
    <row r="792" spans="1:17" ht="16.5" x14ac:dyDescent="0.3">
      <c r="A792" s="23" t="s">
        <v>1502</v>
      </c>
      <c r="B792" s="23" t="s">
        <v>52</v>
      </c>
      <c r="C792" s="23" t="s">
        <v>1183</v>
      </c>
      <c r="D792" s="24">
        <v>46288</v>
      </c>
      <c r="E792" s="25">
        <v>1</v>
      </c>
      <c r="F792" s="24">
        <v>46288</v>
      </c>
      <c r="G792" s="23" t="s">
        <v>93</v>
      </c>
      <c r="H792" s="26">
        <v>28</v>
      </c>
      <c r="I792" s="24">
        <f t="shared" ref="I792:I828" si="43">IF(AND(D792&lt;&gt;"",H792&lt;&gt;""),D792+H792,"")</f>
        <v>46316</v>
      </c>
      <c r="J792" s="26">
        <f t="shared" ca="1" si="42"/>
        <v>12</v>
      </c>
      <c r="K792" s="26" t="str">
        <f t="shared" ca="1" si="41"/>
        <v/>
      </c>
      <c r="L792" s="27"/>
      <c r="M792" s="26" t="str">
        <f ca="1">IF(L792&lt;&gt;"","Entregado",IF(NOT(ISNUMBER(IF(Q792&lt;&gt;"",Q792,I792))),"REVISAR TE",IF(AND(ISNUMBER(Resumen!$B$3),IF(Q792&lt;&gt;"",Q792,I792)&lt;Resumen!$B$3),"REVISAR",IF(IF(Q792&lt;&gt;"",Q792,I792)&lt;TODAY(),"ATRASADO",IF(IF(Q792&lt;&gt;"",Q792,I792)-TODAY()&lt;=2,"POR VENCER","EN TIEMPO")))))</f>
        <v>EN TIEMPO</v>
      </c>
      <c r="N792" s="23" t="s">
        <v>672</v>
      </c>
      <c r="P792" s="23" t="s">
        <v>1503</v>
      </c>
      <c r="Q792" s="28"/>
    </row>
    <row r="793" spans="1:17" ht="16.5" x14ac:dyDescent="0.3">
      <c r="A793" s="23" t="s">
        <v>1504</v>
      </c>
      <c r="B793" s="23"/>
      <c r="C793" s="23" t="s">
        <v>1505</v>
      </c>
      <c r="D793" s="24">
        <v>46289</v>
      </c>
      <c r="E793" s="25">
        <v>3</v>
      </c>
      <c r="F793" s="24">
        <v>46289</v>
      </c>
      <c r="G793" s="23" t="s">
        <v>553</v>
      </c>
      <c r="H793" s="26">
        <v>28</v>
      </c>
      <c r="I793" s="24">
        <f t="shared" si="43"/>
        <v>46317</v>
      </c>
      <c r="J793" s="26">
        <f t="shared" ca="1" si="42"/>
        <v>13</v>
      </c>
      <c r="K793" s="26" t="str">
        <f t="shared" ca="1" si="41"/>
        <v/>
      </c>
      <c r="L793" s="27"/>
      <c r="M793" s="26" t="str">
        <f ca="1">IF(L793&lt;&gt;"","Entregado",IF(NOT(ISNUMBER(IF(Q793&lt;&gt;"",Q793,I793))),"REVISAR TE",IF(AND(ISNUMBER(Resumen!$B$3),IF(Q793&lt;&gt;"",Q793,I793)&lt;Resumen!$B$3),"REVISAR",IF(IF(Q793&lt;&gt;"",Q793,I793)&lt;TODAY(),"ATRASADO",IF(IF(Q793&lt;&gt;"",Q793,I793)-TODAY()&lt;=2,"POR VENCER","EN TIEMPO")))))</f>
        <v>EN TIEMPO</v>
      </c>
      <c r="N793" s="23" t="s">
        <v>94</v>
      </c>
      <c r="P793" s="23" t="s">
        <v>1506</v>
      </c>
      <c r="Q793" s="28"/>
    </row>
    <row r="794" spans="1:17" ht="16.5" x14ac:dyDescent="0.3">
      <c r="A794" s="23" t="s">
        <v>1507</v>
      </c>
      <c r="B794" s="23" t="s">
        <v>57</v>
      </c>
      <c r="C794" s="23" t="s">
        <v>1508</v>
      </c>
      <c r="D794" s="24">
        <v>46290</v>
      </c>
      <c r="E794" s="25">
        <v>1</v>
      </c>
      <c r="F794" s="24">
        <v>46290</v>
      </c>
      <c r="G794" s="23" t="s">
        <v>137</v>
      </c>
      <c r="H794" s="26">
        <v>28</v>
      </c>
      <c r="I794" s="24">
        <f t="shared" si="43"/>
        <v>46318</v>
      </c>
      <c r="J794" s="26">
        <f t="shared" ca="1" si="42"/>
        <v>14</v>
      </c>
      <c r="K794" s="26" t="str">
        <f t="shared" ca="1" si="41"/>
        <v/>
      </c>
      <c r="L794" s="27"/>
      <c r="M794" s="26" t="str">
        <f ca="1">IF(L794&lt;&gt;"","Entregado",IF(NOT(ISNUMBER(IF(Q794&lt;&gt;"",Q794,I794))),"REVISAR TE",IF(AND(ISNUMBER(Resumen!$B$3),IF(Q794&lt;&gt;"",Q794,I794)&lt;Resumen!$B$3),"REVISAR",IF(IF(Q794&lt;&gt;"",Q794,I794)&lt;TODAY(),"ATRASADO",IF(IF(Q794&lt;&gt;"",Q794,I794)-TODAY()&lt;=2,"POR VENCER","EN TIEMPO")))))</f>
        <v>EN TIEMPO</v>
      </c>
      <c r="N794" s="23" t="s">
        <v>84</v>
      </c>
      <c r="P794" s="23" t="s">
        <v>1509</v>
      </c>
      <c r="Q794" s="28"/>
    </row>
    <row r="795" spans="1:17" ht="16.5" x14ac:dyDescent="0.3">
      <c r="A795" s="23" t="s">
        <v>1507</v>
      </c>
      <c r="B795" s="23" t="s">
        <v>57</v>
      </c>
      <c r="C795" s="23" t="s">
        <v>1510</v>
      </c>
      <c r="D795" s="24">
        <v>46290</v>
      </c>
      <c r="E795" s="25">
        <v>1</v>
      </c>
      <c r="F795" s="24">
        <v>46290</v>
      </c>
      <c r="G795" s="23" t="s">
        <v>137</v>
      </c>
      <c r="H795" s="26">
        <v>28</v>
      </c>
      <c r="I795" s="24">
        <f t="shared" si="43"/>
        <v>46318</v>
      </c>
      <c r="J795" s="26">
        <f t="shared" ca="1" si="42"/>
        <v>14</v>
      </c>
      <c r="K795" s="26" t="str">
        <f t="shared" ca="1" si="41"/>
        <v/>
      </c>
      <c r="L795" s="27"/>
      <c r="M795" s="26" t="str">
        <f ca="1">IF(L795&lt;&gt;"","Entregado",IF(NOT(ISNUMBER(IF(Q795&lt;&gt;"",Q795,I795))),"REVISAR TE",IF(AND(ISNUMBER(Resumen!$B$3),IF(Q795&lt;&gt;"",Q795,I795)&lt;Resumen!$B$3),"REVISAR",IF(IF(Q795&lt;&gt;"",Q795,I795)&lt;TODAY(),"ATRASADO",IF(IF(Q795&lt;&gt;"",Q795,I795)-TODAY()&lt;=2,"POR VENCER","EN TIEMPO")))))</f>
        <v>EN TIEMPO</v>
      </c>
      <c r="N795" s="23" t="s">
        <v>84</v>
      </c>
      <c r="P795" s="23" t="s">
        <v>1509</v>
      </c>
      <c r="Q795" s="28"/>
    </row>
    <row r="796" spans="1:17" ht="16.5" x14ac:dyDescent="0.3">
      <c r="A796" s="23" t="s">
        <v>1511</v>
      </c>
      <c r="B796" s="23" t="s">
        <v>53</v>
      </c>
      <c r="C796" s="23" t="s">
        <v>1512</v>
      </c>
      <c r="D796" s="24">
        <v>46290</v>
      </c>
      <c r="E796" s="25">
        <v>2</v>
      </c>
      <c r="F796" s="24">
        <v>46290</v>
      </c>
      <c r="G796" s="23" t="s">
        <v>192</v>
      </c>
      <c r="H796" s="26">
        <v>35</v>
      </c>
      <c r="I796" s="24">
        <f t="shared" si="43"/>
        <v>46325</v>
      </c>
      <c r="J796" s="26">
        <f t="shared" ca="1" si="42"/>
        <v>21</v>
      </c>
      <c r="K796" s="26" t="str">
        <f t="shared" ca="1" si="41"/>
        <v/>
      </c>
      <c r="L796" s="27"/>
      <c r="M796" s="26" t="str">
        <f ca="1">IF(L796&lt;&gt;"","Entregado",IF(NOT(ISNUMBER(IF(Q796&lt;&gt;"",Q796,I796))),"REVISAR TE",IF(AND(ISNUMBER(Resumen!$B$3),IF(Q796&lt;&gt;"",Q796,I796)&lt;Resumen!$B$3),"REVISAR",IF(IF(Q796&lt;&gt;"",Q796,I796)&lt;TODAY(),"ATRASADO",IF(IF(Q796&lt;&gt;"",Q796,I796)-TODAY()&lt;=2,"POR VENCER","EN TIEMPO")))))</f>
        <v>EN TIEMPO</v>
      </c>
      <c r="N796" s="23" t="s">
        <v>899</v>
      </c>
      <c r="P796" s="23" t="s">
        <v>1513</v>
      </c>
      <c r="Q796" s="28"/>
    </row>
    <row r="797" spans="1:17" ht="16.5" x14ac:dyDescent="0.3">
      <c r="A797" s="23" t="s">
        <v>1511</v>
      </c>
      <c r="B797" s="23" t="s">
        <v>53</v>
      </c>
      <c r="C797" s="23" t="s">
        <v>1514</v>
      </c>
      <c r="D797" s="24">
        <v>46290</v>
      </c>
      <c r="E797" s="25">
        <v>1</v>
      </c>
      <c r="F797" s="24">
        <v>46290</v>
      </c>
      <c r="G797" s="23" t="s">
        <v>192</v>
      </c>
      <c r="H797" s="26">
        <v>35</v>
      </c>
      <c r="I797" s="24">
        <f t="shared" si="43"/>
        <v>46325</v>
      </c>
      <c r="J797" s="26">
        <f t="shared" ca="1" si="42"/>
        <v>21</v>
      </c>
      <c r="K797" s="26" t="str">
        <f t="shared" ca="1" si="41"/>
        <v/>
      </c>
      <c r="L797" s="27"/>
      <c r="M797" s="26" t="str">
        <f ca="1">IF(L797&lt;&gt;"","Entregado",IF(NOT(ISNUMBER(IF(Q797&lt;&gt;"",Q797,I797))),"REVISAR TE",IF(AND(ISNUMBER(Resumen!$B$3),IF(Q797&lt;&gt;"",Q797,I797)&lt;Resumen!$B$3),"REVISAR",IF(IF(Q797&lt;&gt;"",Q797,I797)&lt;TODAY(),"ATRASADO",IF(IF(Q797&lt;&gt;"",Q797,I797)-TODAY()&lt;=2,"POR VENCER","EN TIEMPO")))))</f>
        <v>EN TIEMPO</v>
      </c>
      <c r="N797" s="23" t="s">
        <v>920</v>
      </c>
      <c r="P797" s="23" t="s">
        <v>1513</v>
      </c>
      <c r="Q797" s="28"/>
    </row>
    <row r="798" spans="1:17" ht="16.5" x14ac:dyDescent="0.3">
      <c r="A798" s="23" t="s">
        <v>1511</v>
      </c>
      <c r="B798" s="23" t="s">
        <v>53</v>
      </c>
      <c r="C798" s="23" t="s">
        <v>1515</v>
      </c>
      <c r="D798" s="24">
        <v>46290</v>
      </c>
      <c r="E798" s="25">
        <v>1</v>
      </c>
      <c r="F798" s="24">
        <v>46290</v>
      </c>
      <c r="G798" s="23" t="s">
        <v>192</v>
      </c>
      <c r="H798" s="26">
        <v>35</v>
      </c>
      <c r="I798" s="24">
        <f t="shared" si="43"/>
        <v>46325</v>
      </c>
      <c r="J798" s="26">
        <f t="shared" ca="1" si="42"/>
        <v>21</v>
      </c>
      <c r="K798" s="26" t="str">
        <f t="shared" ca="1" si="41"/>
        <v/>
      </c>
      <c r="L798" s="27"/>
      <c r="M798" s="26" t="str">
        <f ca="1">IF(L798&lt;&gt;"","Entregado",IF(NOT(ISNUMBER(IF(Q798&lt;&gt;"",Q798,I798))),"REVISAR TE",IF(AND(ISNUMBER(Resumen!$B$3),IF(Q798&lt;&gt;"",Q798,I798)&lt;Resumen!$B$3),"REVISAR",IF(IF(Q798&lt;&gt;"",Q798,I798)&lt;TODAY(),"ATRASADO",IF(IF(Q798&lt;&gt;"",Q798,I798)-TODAY()&lt;=2,"POR VENCER","EN TIEMPO")))))</f>
        <v>EN TIEMPO</v>
      </c>
      <c r="N798" s="23" t="s">
        <v>922</v>
      </c>
      <c r="P798" s="23" t="s">
        <v>1513</v>
      </c>
      <c r="Q798" s="28"/>
    </row>
    <row r="799" spans="1:17" ht="16.5" x14ac:dyDescent="0.3">
      <c r="A799" s="23" t="s">
        <v>1511</v>
      </c>
      <c r="B799" s="23" t="s">
        <v>53</v>
      </c>
      <c r="C799" s="23" t="s">
        <v>1516</v>
      </c>
      <c r="D799" s="24">
        <v>46290</v>
      </c>
      <c r="E799" s="25">
        <v>1</v>
      </c>
      <c r="F799" s="24">
        <v>46290</v>
      </c>
      <c r="G799" s="23" t="s">
        <v>192</v>
      </c>
      <c r="H799" s="26">
        <v>35</v>
      </c>
      <c r="I799" s="24">
        <f t="shared" si="43"/>
        <v>46325</v>
      </c>
      <c r="J799" s="26">
        <f t="shared" ca="1" si="42"/>
        <v>21</v>
      </c>
      <c r="K799" s="26" t="str">
        <f t="shared" ca="1" si="41"/>
        <v/>
      </c>
      <c r="L799" s="27"/>
      <c r="M799" s="26" t="str">
        <f ca="1">IF(L799&lt;&gt;"","Entregado",IF(NOT(ISNUMBER(IF(Q799&lt;&gt;"",Q799,I799))),"REVISAR TE",IF(AND(ISNUMBER(Resumen!$B$3),IF(Q799&lt;&gt;"",Q799,I799)&lt;Resumen!$B$3),"REVISAR",IF(IF(Q799&lt;&gt;"",Q799,I799)&lt;TODAY(),"ATRASADO",IF(IF(Q799&lt;&gt;"",Q799,I799)-TODAY()&lt;=2,"POR VENCER","EN TIEMPO")))))</f>
        <v>EN TIEMPO</v>
      </c>
      <c r="N799" s="23" t="s">
        <v>925</v>
      </c>
      <c r="P799" s="23" t="s">
        <v>1513</v>
      </c>
      <c r="Q799" s="28"/>
    </row>
    <row r="800" spans="1:17" ht="16.5" x14ac:dyDescent="0.3">
      <c r="A800" s="23" t="s">
        <v>1511</v>
      </c>
      <c r="B800" s="23" t="s">
        <v>53</v>
      </c>
      <c r="C800" s="23" t="s">
        <v>1517</v>
      </c>
      <c r="D800" s="24">
        <v>46290</v>
      </c>
      <c r="E800" s="25">
        <v>2</v>
      </c>
      <c r="F800" s="24">
        <v>46290</v>
      </c>
      <c r="G800" s="23" t="s">
        <v>192</v>
      </c>
      <c r="H800" s="26">
        <v>35</v>
      </c>
      <c r="I800" s="24">
        <f t="shared" si="43"/>
        <v>46325</v>
      </c>
      <c r="J800" s="26">
        <f t="shared" ref="J800:J809" ca="1" si="44">I800-TODAY()</f>
        <v>21</v>
      </c>
      <c r="K800" s="26" t="str">
        <f t="shared" ca="1" si="41"/>
        <v/>
      </c>
      <c r="L800" s="27"/>
      <c r="M800" s="26" t="str">
        <f ca="1">IF(L800&lt;&gt;"","Entregado",IF(NOT(ISNUMBER(IF(Q800&lt;&gt;"",Q800,I800))),"REVISAR TE",IF(AND(ISNUMBER(Resumen!$B$3),IF(Q800&lt;&gt;"",Q800,I800)&lt;Resumen!$B$3),"REVISAR",IF(IF(Q800&lt;&gt;"",Q800,I800)&lt;TODAY(),"ATRASADO",IF(IF(Q800&lt;&gt;"",Q800,I800)-TODAY()&lt;=2,"POR VENCER","EN TIEMPO")))))</f>
        <v>EN TIEMPO</v>
      </c>
      <c r="N800" s="23" t="s">
        <v>902</v>
      </c>
      <c r="P800" s="23" t="s">
        <v>1513</v>
      </c>
      <c r="Q800" s="28"/>
    </row>
    <row r="801" spans="1:17" ht="16.5" x14ac:dyDescent="0.3">
      <c r="A801" s="23" t="s">
        <v>1511</v>
      </c>
      <c r="B801" s="23" t="s">
        <v>53</v>
      </c>
      <c r="C801" s="23" t="s">
        <v>1518</v>
      </c>
      <c r="D801" s="24">
        <v>46290</v>
      </c>
      <c r="E801" s="25">
        <v>1</v>
      </c>
      <c r="F801" s="24">
        <v>46290</v>
      </c>
      <c r="G801" s="23" t="s">
        <v>192</v>
      </c>
      <c r="H801" s="26">
        <v>35</v>
      </c>
      <c r="I801" s="24">
        <f t="shared" si="43"/>
        <v>46325</v>
      </c>
      <c r="J801" s="26">
        <f t="shared" ca="1" si="44"/>
        <v>21</v>
      </c>
      <c r="K801" s="26" t="str">
        <f t="shared" ca="1" si="41"/>
        <v/>
      </c>
      <c r="L801" s="27"/>
      <c r="M801" s="26" t="str">
        <f ca="1">IF(L801&lt;&gt;"","Entregado",IF(NOT(ISNUMBER(IF(Q801&lt;&gt;"",Q801,I801))),"REVISAR TE",IF(AND(ISNUMBER(Resumen!$B$3),IF(Q801&lt;&gt;"",Q801,I801)&lt;Resumen!$B$3),"REVISAR",IF(IF(Q801&lt;&gt;"",Q801,I801)&lt;TODAY(),"ATRASADO",IF(IF(Q801&lt;&gt;"",Q801,I801)-TODAY()&lt;=2,"POR VENCER","EN TIEMPO")))))</f>
        <v>EN TIEMPO</v>
      </c>
      <c r="N801" s="23" t="s">
        <v>927</v>
      </c>
      <c r="P801" s="23" t="s">
        <v>1513</v>
      </c>
      <c r="Q801" s="28"/>
    </row>
    <row r="802" spans="1:17" ht="16.5" x14ac:dyDescent="0.3">
      <c r="A802" s="23" t="s">
        <v>1511</v>
      </c>
      <c r="B802" s="23" t="s">
        <v>53</v>
      </c>
      <c r="C802" s="23" t="s">
        <v>1519</v>
      </c>
      <c r="D802" s="24">
        <v>46290</v>
      </c>
      <c r="E802" s="25">
        <v>1</v>
      </c>
      <c r="F802" s="24">
        <v>46290</v>
      </c>
      <c r="G802" s="23" t="s">
        <v>192</v>
      </c>
      <c r="H802" s="26">
        <v>35</v>
      </c>
      <c r="I802" s="24">
        <f t="shared" si="43"/>
        <v>46325</v>
      </c>
      <c r="J802" s="26">
        <f t="shared" ca="1" si="44"/>
        <v>21</v>
      </c>
      <c r="K802" s="26" t="str">
        <f t="shared" ca="1" si="41"/>
        <v/>
      </c>
      <c r="L802" s="27"/>
      <c r="M802" s="26" t="str">
        <f ca="1">IF(L802&lt;&gt;"","Entregado",IF(NOT(ISNUMBER(IF(Q802&lt;&gt;"",Q802,I802))),"REVISAR TE",IF(AND(ISNUMBER(Resumen!$B$3),IF(Q802&lt;&gt;"",Q802,I802)&lt;Resumen!$B$3),"REVISAR",IF(IF(Q802&lt;&gt;"",Q802,I802)&lt;TODAY(),"ATRASADO",IF(IF(Q802&lt;&gt;"",Q802,I802)-TODAY()&lt;=2,"POR VENCER","EN TIEMPO")))))</f>
        <v>EN TIEMPO</v>
      </c>
      <c r="N802" s="23" t="s">
        <v>929</v>
      </c>
      <c r="P802" s="23" t="s">
        <v>1513</v>
      </c>
      <c r="Q802" s="28"/>
    </row>
    <row r="803" spans="1:17" ht="16.5" x14ac:dyDescent="0.3">
      <c r="A803" s="23" t="s">
        <v>1511</v>
      </c>
      <c r="B803" s="23" t="s">
        <v>53</v>
      </c>
      <c r="C803" s="23" t="s">
        <v>1520</v>
      </c>
      <c r="D803" s="24">
        <v>46290</v>
      </c>
      <c r="E803" s="25">
        <v>1</v>
      </c>
      <c r="F803" s="24">
        <v>46290</v>
      </c>
      <c r="G803" s="23" t="s">
        <v>192</v>
      </c>
      <c r="H803" s="26">
        <v>35</v>
      </c>
      <c r="I803" s="24">
        <f t="shared" si="43"/>
        <v>46325</v>
      </c>
      <c r="J803" s="26">
        <f t="shared" ca="1" si="44"/>
        <v>21</v>
      </c>
      <c r="K803" s="26" t="str">
        <f t="shared" ca="1" si="41"/>
        <v/>
      </c>
      <c r="L803" s="27"/>
      <c r="M803" s="26" t="str">
        <f ca="1">IF(L803&lt;&gt;"","Entregado",IF(NOT(ISNUMBER(IF(Q803&lt;&gt;"",Q803,I803))),"REVISAR TE",IF(AND(ISNUMBER(Resumen!$B$3),IF(Q803&lt;&gt;"",Q803,I803)&lt;Resumen!$B$3),"REVISAR",IF(IF(Q803&lt;&gt;"",Q803,I803)&lt;TODAY(),"ATRASADO",IF(IF(Q803&lt;&gt;"",Q803,I803)-TODAY()&lt;=2,"POR VENCER","EN TIEMPO")))))</f>
        <v>EN TIEMPO</v>
      </c>
      <c r="N803" s="23" t="s">
        <v>1077</v>
      </c>
      <c r="P803" s="23" t="s">
        <v>1513</v>
      </c>
      <c r="Q803" s="28"/>
    </row>
    <row r="804" spans="1:17" ht="16.5" x14ac:dyDescent="0.3">
      <c r="A804" s="23" t="s">
        <v>1521</v>
      </c>
      <c r="B804" s="23" t="s">
        <v>52</v>
      </c>
      <c r="C804" s="23" t="s">
        <v>1212</v>
      </c>
      <c r="D804" s="24">
        <v>46290</v>
      </c>
      <c r="E804" s="25">
        <v>30</v>
      </c>
      <c r="F804" s="24">
        <v>46290</v>
      </c>
      <c r="G804" s="23" t="s">
        <v>93</v>
      </c>
      <c r="H804" s="26">
        <v>28</v>
      </c>
      <c r="I804" s="24">
        <f t="shared" si="43"/>
        <v>46318</v>
      </c>
      <c r="J804" s="26">
        <f t="shared" ca="1" si="44"/>
        <v>14</v>
      </c>
      <c r="K804" s="26" t="str">
        <f t="shared" ca="1" si="41"/>
        <v/>
      </c>
      <c r="L804" s="27"/>
      <c r="M804" s="26" t="str">
        <f ca="1">IF(L804&lt;&gt;"","Entregado",IF(NOT(ISNUMBER(IF(Q804&lt;&gt;"",Q804,I804))),"REVISAR TE",IF(AND(ISNUMBER(Resumen!$B$3),IF(Q804&lt;&gt;"",Q804,I804)&lt;Resumen!$B$3),"REVISAR",IF(IF(Q804&lt;&gt;"",Q804,I804)&lt;TODAY(),"ATRASADO",IF(IF(Q804&lt;&gt;"",Q804,I804)-TODAY()&lt;=2,"POR VENCER","EN TIEMPO")))))</f>
        <v>EN TIEMPO</v>
      </c>
      <c r="N804" s="23" t="s">
        <v>98</v>
      </c>
      <c r="P804" s="23" t="s">
        <v>1522</v>
      </c>
      <c r="Q804" s="28"/>
    </row>
    <row r="805" spans="1:17" ht="16.5" x14ac:dyDescent="0.3">
      <c r="A805" s="23" t="s">
        <v>1523</v>
      </c>
      <c r="B805" s="23" t="s">
        <v>58</v>
      </c>
      <c r="C805" s="23" t="s">
        <v>1524</v>
      </c>
      <c r="D805" s="24">
        <v>46294</v>
      </c>
      <c r="E805" s="25">
        <v>1</v>
      </c>
      <c r="F805" s="24">
        <v>46294</v>
      </c>
      <c r="G805" s="23" t="s">
        <v>137</v>
      </c>
      <c r="H805" s="26">
        <v>28</v>
      </c>
      <c r="I805" s="24">
        <f t="shared" si="43"/>
        <v>46322</v>
      </c>
      <c r="J805" s="26">
        <f t="shared" ca="1" si="44"/>
        <v>18</v>
      </c>
      <c r="K805" s="26" t="str">
        <f t="shared" ca="1" si="41"/>
        <v/>
      </c>
      <c r="L805" s="27"/>
      <c r="M805" s="26" t="str">
        <f ca="1">IF(L805&lt;&gt;"","Entregado",IF(NOT(ISNUMBER(IF(Q805&lt;&gt;"",Q805,I805))),"REVISAR TE",IF(AND(ISNUMBER(Resumen!$B$3),IF(Q805&lt;&gt;"",Q805,I805)&lt;Resumen!$B$3),"REVISAR",IF(IF(Q805&lt;&gt;"",Q805,I805)&lt;TODAY(),"ATRASADO",IF(IF(Q805&lt;&gt;"",Q805,I805)-TODAY()&lt;=2,"POR VENCER","EN TIEMPO")))))</f>
        <v>EN TIEMPO</v>
      </c>
      <c r="N805" s="23" t="s">
        <v>245</v>
      </c>
      <c r="P805" s="23" t="s">
        <v>1525</v>
      </c>
      <c r="Q805" s="28"/>
    </row>
    <row r="806" spans="1:17" ht="16.5" x14ac:dyDescent="0.3">
      <c r="A806" s="23" t="s">
        <v>1523</v>
      </c>
      <c r="B806" s="23" t="s">
        <v>58</v>
      </c>
      <c r="C806" s="23" t="s">
        <v>1526</v>
      </c>
      <c r="D806" s="24">
        <v>46294</v>
      </c>
      <c r="E806" s="25">
        <v>1</v>
      </c>
      <c r="F806" s="24">
        <v>46294</v>
      </c>
      <c r="G806" s="23" t="s">
        <v>137</v>
      </c>
      <c r="H806" s="26">
        <v>28</v>
      </c>
      <c r="I806" s="24">
        <f t="shared" si="43"/>
        <v>46322</v>
      </c>
      <c r="J806" s="26">
        <f t="shared" ca="1" si="44"/>
        <v>18</v>
      </c>
      <c r="K806" s="26" t="str">
        <f t="shared" ca="1" si="41"/>
        <v/>
      </c>
      <c r="L806" s="27"/>
      <c r="M806" s="26" t="str">
        <f ca="1">IF(L806&lt;&gt;"","Entregado",IF(NOT(ISNUMBER(IF(Q806&lt;&gt;"",Q806,I806))),"REVISAR TE",IF(AND(ISNUMBER(Resumen!$B$3),IF(Q806&lt;&gt;"",Q806,I806)&lt;Resumen!$B$3),"REVISAR",IF(IF(Q806&lt;&gt;"",Q806,I806)&lt;TODAY(),"ATRASADO",IF(IF(Q806&lt;&gt;"",Q806,I806)-TODAY()&lt;=2,"POR VENCER","EN TIEMPO")))))</f>
        <v>EN TIEMPO</v>
      </c>
      <c r="N806" s="23" t="s">
        <v>245</v>
      </c>
      <c r="P806" s="23" t="s">
        <v>1525</v>
      </c>
      <c r="Q806" s="28"/>
    </row>
    <row r="807" spans="1:17" ht="16.5" hidden="1" x14ac:dyDescent="0.3">
      <c r="A807" s="23" t="s">
        <v>1527</v>
      </c>
      <c r="B807" s="23" t="s">
        <v>71</v>
      </c>
      <c r="C807" s="23" t="s">
        <v>1529</v>
      </c>
      <c r="D807" s="24">
        <v>46294</v>
      </c>
      <c r="E807" s="25">
        <v>37</v>
      </c>
      <c r="F807" s="24">
        <v>46294</v>
      </c>
      <c r="G807" s="23"/>
      <c r="H807" s="26"/>
      <c r="I807" s="24" t="str">
        <f t="shared" si="43"/>
        <v/>
      </c>
      <c r="J807" s="26" t="e">
        <f t="shared" ca="1" si="44"/>
        <v>#VALUE!</v>
      </c>
      <c r="K807" s="26" t="str">
        <f t="shared" ca="1" si="41"/>
        <v/>
      </c>
      <c r="L807" s="27"/>
      <c r="M807" s="26" t="str">
        <f ca="1">IF(L807&lt;&gt;"","Entregado",IF(NOT(ISNUMBER(IF(Q807&lt;&gt;"",Q807,I807))),"REVISAR TE",IF(AND(ISNUMBER(Resumen!$B$3),IF(Q807&lt;&gt;"",Q807,I807)&lt;Resumen!$B$3),"REVISAR",IF(IF(Q807&lt;&gt;"",Q807,I807)&lt;TODAY(),"ATRASADO",IF(IF(Q807&lt;&gt;"",Q807,I807)-TODAY()&lt;=2,"POR VENCER","EN TIEMPO")))))</f>
        <v>REVISAR TE</v>
      </c>
      <c r="N807" s="23" t="s">
        <v>1528</v>
      </c>
      <c r="P807" s="23" t="s">
        <v>1530</v>
      </c>
      <c r="Q807" s="28"/>
    </row>
    <row r="808" spans="1:17" ht="16.5" x14ac:dyDescent="0.3">
      <c r="A808" s="23" t="s">
        <v>1531</v>
      </c>
      <c r="B808" s="23" t="s">
        <v>56</v>
      </c>
      <c r="C808" s="23" t="s">
        <v>1532</v>
      </c>
      <c r="D808" s="24">
        <v>46297</v>
      </c>
      <c r="E808" s="25">
        <v>1</v>
      </c>
      <c r="F808" s="24">
        <v>46297</v>
      </c>
      <c r="G808" s="23" t="s">
        <v>180</v>
      </c>
      <c r="H808" s="26">
        <v>14</v>
      </c>
      <c r="I808" s="24">
        <f t="shared" si="43"/>
        <v>46311</v>
      </c>
      <c r="J808" s="26">
        <f t="shared" ca="1" si="44"/>
        <v>7</v>
      </c>
      <c r="K808" s="26" t="str">
        <f t="shared" ca="1" si="41"/>
        <v/>
      </c>
      <c r="L808" s="27"/>
      <c r="M808" s="26" t="str">
        <f ca="1">IF(L808&lt;&gt;"","Entregado",IF(NOT(ISNUMBER(IF(Q808&lt;&gt;"",Q808,I808))),"REVISAR TE",IF(AND(ISNUMBER(Resumen!$B$3),IF(Q808&lt;&gt;"",Q808,I808)&lt;Resumen!$B$3),"REVISAR",IF(IF(Q808&lt;&gt;"",Q808,I808)&lt;TODAY(),"ATRASADO",IF(IF(Q808&lt;&gt;"",Q808,I808)-TODAY()&lt;=2,"POR VENCER","EN TIEMPO")))))</f>
        <v>EN TIEMPO</v>
      </c>
      <c r="N808" s="23" t="s">
        <v>165</v>
      </c>
      <c r="P808" s="23" t="s">
        <v>1533</v>
      </c>
      <c r="Q808" s="28"/>
    </row>
    <row r="809" spans="1:17" ht="16.5" x14ac:dyDescent="0.3">
      <c r="A809" s="23" t="s">
        <v>1534</v>
      </c>
      <c r="B809" s="23" t="s">
        <v>54</v>
      </c>
      <c r="C809" s="23" t="s">
        <v>1535</v>
      </c>
      <c r="D809" s="24">
        <v>46297</v>
      </c>
      <c r="E809" s="25">
        <v>1</v>
      </c>
      <c r="F809" s="24">
        <v>46297</v>
      </c>
      <c r="G809" s="23" t="s">
        <v>137</v>
      </c>
      <c r="H809" s="26">
        <v>28</v>
      </c>
      <c r="I809" s="24">
        <f t="shared" si="43"/>
        <v>46325</v>
      </c>
      <c r="J809" s="26">
        <f t="shared" ca="1" si="44"/>
        <v>21</v>
      </c>
      <c r="K809" s="26" t="str">
        <f t="shared" ca="1" si="41"/>
        <v/>
      </c>
      <c r="L809" s="27"/>
      <c r="M809" s="26" t="str">
        <f ca="1">IF(L809&lt;&gt;"","Entregado",IF(NOT(ISNUMBER(IF(Q809&lt;&gt;"",Q809,I809))),"REVISAR TE",IF(AND(ISNUMBER(Resumen!$B$3),IF(Q809&lt;&gt;"",Q809,I809)&lt;Resumen!$B$3),"REVISAR",IF(IF(Q809&lt;&gt;"",Q809,I809)&lt;TODAY(),"ATRASADO",IF(IF(Q809&lt;&gt;"",Q809,I809)-TODAY()&lt;=2,"POR VENCER","EN TIEMPO")))))</f>
        <v>EN TIEMPO</v>
      </c>
      <c r="N809" s="23" t="s">
        <v>165</v>
      </c>
      <c r="P809" s="23" t="s">
        <v>1536</v>
      </c>
      <c r="Q809" s="28"/>
    </row>
    <row r="810" spans="1:17" ht="16.5" x14ac:dyDescent="0.3">
      <c r="A810" s="23" t="s">
        <v>1534</v>
      </c>
      <c r="B810" s="23" t="s">
        <v>54</v>
      </c>
      <c r="C810" s="23" t="s">
        <v>1537</v>
      </c>
      <c r="D810" s="24">
        <v>46297</v>
      </c>
      <c r="E810" s="25">
        <v>1</v>
      </c>
      <c r="F810" s="24">
        <v>46297</v>
      </c>
      <c r="G810" s="23" t="s">
        <v>137</v>
      </c>
      <c r="H810" s="26">
        <v>28</v>
      </c>
      <c r="I810" s="24">
        <f t="shared" si="43"/>
        <v>46325</v>
      </c>
      <c r="J810" s="26">
        <f t="shared" ref="J810:J821" ca="1" si="45">I810-TODAY()</f>
        <v>21</v>
      </c>
      <c r="K810" s="26" t="str">
        <f t="shared" ca="1" si="41"/>
        <v/>
      </c>
      <c r="L810" s="27"/>
      <c r="M810" s="26" t="str">
        <f ca="1">IF(L810&lt;&gt;"","Entregado",IF(NOT(ISNUMBER(IF(Q810&lt;&gt;"",Q810,I810))),"REVISAR TE",IF(AND(ISNUMBER(Resumen!$B$3),IF(Q810&lt;&gt;"",Q810,I810)&lt;Resumen!$B$3),"REVISAR",IF(IF(Q810&lt;&gt;"",Q810,I810)&lt;TODAY(),"ATRASADO",IF(IF(Q810&lt;&gt;"",Q810,I810)-TODAY()&lt;=2,"POR VENCER","EN TIEMPO")))))</f>
        <v>EN TIEMPO</v>
      </c>
      <c r="N810" s="23" t="s">
        <v>165</v>
      </c>
      <c r="P810" s="23" t="s">
        <v>1536</v>
      </c>
      <c r="Q810" s="28"/>
    </row>
    <row r="811" spans="1:17" ht="16.5" x14ac:dyDescent="0.3">
      <c r="A811" s="23" t="s">
        <v>1534</v>
      </c>
      <c r="B811" s="23" t="s">
        <v>54</v>
      </c>
      <c r="C811" s="23" t="s">
        <v>1538</v>
      </c>
      <c r="D811" s="24">
        <v>46297</v>
      </c>
      <c r="E811" s="25">
        <v>1</v>
      </c>
      <c r="F811" s="24">
        <v>46297</v>
      </c>
      <c r="G811" s="23" t="s">
        <v>137</v>
      </c>
      <c r="H811" s="26">
        <v>28</v>
      </c>
      <c r="I811" s="24">
        <f t="shared" si="43"/>
        <v>46325</v>
      </c>
      <c r="J811" s="26">
        <f t="shared" ca="1" si="45"/>
        <v>21</v>
      </c>
      <c r="K811" s="26" t="str">
        <f t="shared" ca="1" si="41"/>
        <v/>
      </c>
      <c r="L811" s="27"/>
      <c r="M811" s="26" t="str">
        <f ca="1">IF(L811&lt;&gt;"","Entregado",IF(NOT(ISNUMBER(IF(Q811&lt;&gt;"",Q811,I811))),"REVISAR TE",IF(AND(ISNUMBER(Resumen!$B$3),IF(Q811&lt;&gt;"",Q811,I811)&lt;Resumen!$B$3),"REVISAR",IF(IF(Q811&lt;&gt;"",Q811,I811)&lt;TODAY(),"ATRASADO",IF(IF(Q811&lt;&gt;"",Q811,I811)-TODAY()&lt;=2,"POR VENCER","EN TIEMPO")))))</f>
        <v>EN TIEMPO</v>
      </c>
      <c r="N811" s="23" t="s">
        <v>165</v>
      </c>
      <c r="P811" s="23" t="s">
        <v>1536</v>
      </c>
      <c r="Q811" s="28"/>
    </row>
    <row r="812" spans="1:17" ht="16.5" x14ac:dyDescent="0.3">
      <c r="A812" s="23" t="s">
        <v>1534</v>
      </c>
      <c r="B812" s="23" t="s">
        <v>54</v>
      </c>
      <c r="C812" s="23" t="s">
        <v>1539</v>
      </c>
      <c r="D812" s="24">
        <v>46297</v>
      </c>
      <c r="E812" s="25">
        <v>1</v>
      </c>
      <c r="F812" s="24">
        <v>46297</v>
      </c>
      <c r="G812" s="23" t="s">
        <v>137</v>
      </c>
      <c r="H812" s="26">
        <v>28</v>
      </c>
      <c r="I812" s="24">
        <f t="shared" si="43"/>
        <v>46325</v>
      </c>
      <c r="J812" s="26">
        <f t="shared" ca="1" si="45"/>
        <v>21</v>
      </c>
      <c r="K812" s="26" t="str">
        <f t="shared" ca="1" si="41"/>
        <v/>
      </c>
      <c r="L812" s="27"/>
      <c r="M812" s="26" t="str">
        <f ca="1">IF(L812&lt;&gt;"","Entregado",IF(NOT(ISNUMBER(IF(Q812&lt;&gt;"",Q812,I812))),"REVISAR TE",IF(AND(ISNUMBER(Resumen!$B$3),IF(Q812&lt;&gt;"",Q812,I812)&lt;Resumen!$B$3),"REVISAR",IF(IF(Q812&lt;&gt;"",Q812,I812)&lt;TODAY(),"ATRASADO",IF(IF(Q812&lt;&gt;"",Q812,I812)-TODAY()&lt;=2,"POR VENCER","EN TIEMPO")))))</f>
        <v>EN TIEMPO</v>
      </c>
      <c r="N812" s="23" t="s">
        <v>165</v>
      </c>
      <c r="P812" s="23" t="s">
        <v>1536</v>
      </c>
      <c r="Q812" s="28"/>
    </row>
    <row r="813" spans="1:17" ht="16.5" x14ac:dyDescent="0.3">
      <c r="A813" s="23" t="s">
        <v>1534</v>
      </c>
      <c r="B813" s="23" t="s">
        <v>54</v>
      </c>
      <c r="C813" s="23" t="s">
        <v>1540</v>
      </c>
      <c r="D813" s="24">
        <v>46297</v>
      </c>
      <c r="E813" s="25">
        <v>1</v>
      </c>
      <c r="F813" s="24">
        <v>46297</v>
      </c>
      <c r="G813" s="23" t="s">
        <v>137</v>
      </c>
      <c r="H813" s="26">
        <v>28</v>
      </c>
      <c r="I813" s="24">
        <f t="shared" si="43"/>
        <v>46325</v>
      </c>
      <c r="J813" s="26">
        <f t="shared" ca="1" si="45"/>
        <v>21</v>
      </c>
      <c r="K813" s="26" t="str">
        <f t="shared" ca="1" si="41"/>
        <v/>
      </c>
      <c r="L813" s="27"/>
      <c r="M813" s="26" t="str">
        <f ca="1">IF(L813&lt;&gt;"","Entregado",IF(NOT(ISNUMBER(IF(Q813&lt;&gt;"",Q813,I813))),"REVISAR TE",IF(AND(ISNUMBER(Resumen!$B$3),IF(Q813&lt;&gt;"",Q813,I813)&lt;Resumen!$B$3),"REVISAR",IF(IF(Q813&lt;&gt;"",Q813,I813)&lt;TODAY(),"ATRASADO",IF(IF(Q813&lt;&gt;"",Q813,I813)-TODAY()&lt;=2,"POR VENCER","EN TIEMPO")))))</f>
        <v>EN TIEMPO</v>
      </c>
      <c r="N813" s="23" t="s">
        <v>165</v>
      </c>
      <c r="P813" s="23" t="s">
        <v>1536</v>
      </c>
      <c r="Q813" s="28"/>
    </row>
    <row r="814" spans="1:17" ht="16.5" x14ac:dyDescent="0.3">
      <c r="A814" s="23" t="s">
        <v>1534</v>
      </c>
      <c r="B814" s="23" t="s">
        <v>54</v>
      </c>
      <c r="C814" s="23" t="s">
        <v>1541</v>
      </c>
      <c r="D814" s="24">
        <v>46297</v>
      </c>
      <c r="E814" s="25">
        <v>1</v>
      </c>
      <c r="F814" s="24">
        <v>46297</v>
      </c>
      <c r="G814" s="23" t="s">
        <v>137</v>
      </c>
      <c r="H814" s="26">
        <v>28</v>
      </c>
      <c r="I814" s="24">
        <f t="shared" si="43"/>
        <v>46325</v>
      </c>
      <c r="J814" s="26">
        <f t="shared" ca="1" si="45"/>
        <v>21</v>
      </c>
      <c r="K814" s="26" t="str">
        <f t="shared" ca="1" si="41"/>
        <v/>
      </c>
      <c r="L814" s="27"/>
      <c r="M814" s="26" t="str">
        <f ca="1">IF(L814&lt;&gt;"","Entregado",IF(NOT(ISNUMBER(IF(Q814&lt;&gt;"",Q814,I814))),"REVISAR TE",IF(AND(ISNUMBER(Resumen!$B$3),IF(Q814&lt;&gt;"",Q814,I814)&lt;Resumen!$B$3),"REVISAR",IF(IF(Q814&lt;&gt;"",Q814,I814)&lt;TODAY(),"ATRASADO",IF(IF(Q814&lt;&gt;"",Q814,I814)-TODAY()&lt;=2,"POR VENCER","EN TIEMPO")))))</f>
        <v>EN TIEMPO</v>
      </c>
      <c r="N814" s="23" t="s">
        <v>165</v>
      </c>
      <c r="P814" s="23" t="s">
        <v>1536</v>
      </c>
      <c r="Q814" s="28"/>
    </row>
    <row r="815" spans="1:17" ht="16.5" x14ac:dyDescent="0.3">
      <c r="A815" s="23" t="s">
        <v>1534</v>
      </c>
      <c r="B815" s="23" t="s">
        <v>54</v>
      </c>
      <c r="C815" s="23" t="s">
        <v>1542</v>
      </c>
      <c r="D815" s="24">
        <v>46297</v>
      </c>
      <c r="E815" s="25">
        <v>1</v>
      </c>
      <c r="F815" s="24">
        <v>46297</v>
      </c>
      <c r="G815" s="23" t="s">
        <v>137</v>
      </c>
      <c r="H815" s="26">
        <v>28</v>
      </c>
      <c r="I815" s="24">
        <f t="shared" si="43"/>
        <v>46325</v>
      </c>
      <c r="J815" s="26">
        <f t="shared" ca="1" si="45"/>
        <v>21</v>
      </c>
      <c r="K815" s="26" t="str">
        <f t="shared" ca="1" si="41"/>
        <v/>
      </c>
      <c r="L815" s="27"/>
      <c r="M815" s="26" t="str">
        <f ca="1">IF(L815&lt;&gt;"","Entregado",IF(NOT(ISNUMBER(IF(Q815&lt;&gt;"",Q815,I815))),"REVISAR TE",IF(AND(ISNUMBER(Resumen!$B$3),IF(Q815&lt;&gt;"",Q815,I815)&lt;Resumen!$B$3),"REVISAR",IF(IF(Q815&lt;&gt;"",Q815,I815)&lt;TODAY(),"ATRASADO",IF(IF(Q815&lt;&gt;"",Q815,I815)-TODAY()&lt;=2,"POR VENCER","EN TIEMPO")))))</f>
        <v>EN TIEMPO</v>
      </c>
      <c r="N815" s="23" t="s">
        <v>165</v>
      </c>
      <c r="P815" s="23" t="s">
        <v>1536</v>
      </c>
      <c r="Q815" s="28"/>
    </row>
    <row r="816" spans="1:17" ht="16.5" x14ac:dyDescent="0.3">
      <c r="A816" s="23" t="s">
        <v>1534</v>
      </c>
      <c r="B816" s="23" t="s">
        <v>54</v>
      </c>
      <c r="C816" s="23" t="s">
        <v>1543</v>
      </c>
      <c r="D816" s="24">
        <v>46297</v>
      </c>
      <c r="E816" s="25">
        <v>1</v>
      </c>
      <c r="F816" s="24">
        <v>46297</v>
      </c>
      <c r="G816" s="23" t="s">
        <v>137</v>
      </c>
      <c r="H816" s="26">
        <v>28</v>
      </c>
      <c r="I816" s="24">
        <f t="shared" si="43"/>
        <v>46325</v>
      </c>
      <c r="J816" s="26">
        <f t="shared" ca="1" si="45"/>
        <v>21</v>
      </c>
      <c r="K816" s="26" t="str">
        <f t="shared" ca="1" si="41"/>
        <v/>
      </c>
      <c r="L816" s="27"/>
      <c r="M816" s="26" t="str">
        <f ca="1">IF(L816&lt;&gt;"","Entregado",IF(NOT(ISNUMBER(IF(Q816&lt;&gt;"",Q816,I816))),"REVISAR TE",IF(AND(ISNUMBER(Resumen!$B$3),IF(Q816&lt;&gt;"",Q816,I816)&lt;Resumen!$B$3),"REVISAR",IF(IF(Q816&lt;&gt;"",Q816,I816)&lt;TODAY(),"ATRASADO",IF(IF(Q816&lt;&gt;"",Q816,I816)-TODAY()&lt;=2,"POR VENCER","EN TIEMPO")))))</f>
        <v>EN TIEMPO</v>
      </c>
      <c r="N816" s="23" t="s">
        <v>165</v>
      </c>
      <c r="P816" s="23" t="s">
        <v>1536</v>
      </c>
      <c r="Q816" s="28"/>
    </row>
    <row r="817" spans="1:17" ht="16.5" hidden="1" x14ac:dyDescent="0.3">
      <c r="A817" s="23" t="s">
        <v>1544</v>
      </c>
      <c r="B817" s="23" t="s">
        <v>56</v>
      </c>
      <c r="C817" s="23" t="s">
        <v>1545</v>
      </c>
      <c r="D817" s="24">
        <v>46300</v>
      </c>
      <c r="E817" s="25">
        <v>1</v>
      </c>
      <c r="F817" s="24">
        <v>46300</v>
      </c>
      <c r="G817" s="23" t="s">
        <v>88</v>
      </c>
      <c r="H817" s="26">
        <v>0</v>
      </c>
      <c r="I817" s="24">
        <f t="shared" si="43"/>
        <v>46300</v>
      </c>
      <c r="J817" s="26">
        <f t="shared" ca="1" si="45"/>
        <v>-4</v>
      </c>
      <c r="K817" s="26" t="str">
        <f t="shared" ca="1" si="41"/>
        <v/>
      </c>
      <c r="L817" s="27" t="s">
        <v>1567</v>
      </c>
      <c r="M817" s="26" t="str">
        <f ca="1">IF(L817&lt;&gt;"","Entregado",IF(NOT(ISNUMBER(IF(Q817&lt;&gt;"",Q817,I817))),"REVISAR TE",IF(AND(ISNUMBER(Resumen!$B$3),IF(Q817&lt;&gt;"",Q817,I817)&lt;Resumen!$B$3),"REVISAR",IF(IF(Q817&lt;&gt;"",Q817,I817)&lt;TODAY(),"ATRASADO",IF(IF(Q817&lt;&gt;"",Q817,I817)-TODAY()&lt;=2,"POR VENCER","EN TIEMPO")))))</f>
        <v>Entregado</v>
      </c>
      <c r="N817" s="23" t="s">
        <v>431</v>
      </c>
      <c r="P817" s="23" t="s">
        <v>1546</v>
      </c>
      <c r="Q817" s="28"/>
    </row>
    <row r="818" spans="1:17" ht="16.5" x14ac:dyDescent="0.3">
      <c r="A818" s="23" t="s">
        <v>1547</v>
      </c>
      <c r="B818" s="23" t="s">
        <v>55</v>
      </c>
      <c r="C818" s="23" t="s">
        <v>1548</v>
      </c>
      <c r="D818" s="24">
        <v>46300</v>
      </c>
      <c r="E818" s="25">
        <v>1</v>
      </c>
      <c r="F818" s="24">
        <v>46300</v>
      </c>
      <c r="G818" s="23" t="s">
        <v>93</v>
      </c>
      <c r="H818" s="26">
        <v>28</v>
      </c>
      <c r="I818" s="24">
        <f t="shared" si="43"/>
        <v>46328</v>
      </c>
      <c r="J818" s="26">
        <f t="shared" ca="1" si="45"/>
        <v>24</v>
      </c>
      <c r="K818" s="26" t="str">
        <f t="shared" ca="1" si="41"/>
        <v/>
      </c>
      <c r="L818" s="27"/>
      <c r="M818" s="26" t="str">
        <f ca="1">IF(L818&lt;&gt;"","Entregado",IF(NOT(ISNUMBER(IF(Q818&lt;&gt;"",Q818,I818))),"REVISAR TE",IF(AND(ISNUMBER(Resumen!$B$3),IF(Q818&lt;&gt;"",Q818,I818)&lt;Resumen!$B$3),"REVISAR",IF(IF(Q818&lt;&gt;"",Q818,I818)&lt;TODAY(),"ATRASADO",IF(IF(Q818&lt;&gt;"",Q818,I818)-TODAY()&lt;=2,"POR VENCER","EN TIEMPO")))))</f>
        <v>EN TIEMPO</v>
      </c>
      <c r="N818" s="23" t="s">
        <v>245</v>
      </c>
      <c r="P818" s="23" t="s">
        <v>1549</v>
      </c>
      <c r="Q818" s="28"/>
    </row>
    <row r="819" spans="1:17" ht="16.5" x14ac:dyDescent="0.3">
      <c r="A819" s="23" t="s">
        <v>1550</v>
      </c>
      <c r="B819" s="23" t="s">
        <v>58</v>
      </c>
      <c r="C819" s="23" t="s">
        <v>1551</v>
      </c>
      <c r="D819" s="24">
        <v>46301</v>
      </c>
      <c r="E819" s="25">
        <v>19</v>
      </c>
      <c r="F819" s="24">
        <v>46301</v>
      </c>
      <c r="G819" s="23" t="s">
        <v>605</v>
      </c>
      <c r="H819" s="26">
        <v>35</v>
      </c>
      <c r="I819" s="24">
        <f t="shared" si="43"/>
        <v>46336</v>
      </c>
      <c r="J819" s="26">
        <f t="shared" ca="1" si="45"/>
        <v>32</v>
      </c>
      <c r="K819" s="26" t="str">
        <f t="shared" ca="1" si="41"/>
        <v/>
      </c>
      <c r="L819" s="27"/>
      <c r="M819" s="26" t="str">
        <f ca="1">IF(L819&lt;&gt;"","Entregado",IF(NOT(ISNUMBER(IF(Q819&lt;&gt;"",Q819,I819))),"REVISAR TE",IF(AND(ISNUMBER(Resumen!$B$3),IF(Q819&lt;&gt;"",Q819,I819)&lt;Resumen!$B$3),"REVISAR",IF(IF(Q819&lt;&gt;"",Q819,I819)&lt;TODAY(),"ATRASADO",IF(IF(Q819&lt;&gt;"",Q819,I819)-TODAY()&lt;=2,"POR VENCER","EN TIEMPO")))))</f>
        <v>EN TIEMPO</v>
      </c>
      <c r="N819" s="23" t="s">
        <v>98</v>
      </c>
      <c r="P819" s="23" t="s">
        <v>1552</v>
      </c>
      <c r="Q819" s="28"/>
    </row>
    <row r="820" spans="1:17" ht="16.5" x14ac:dyDescent="0.3">
      <c r="A820" s="23" t="s">
        <v>1550</v>
      </c>
      <c r="B820" s="23" t="s">
        <v>58</v>
      </c>
      <c r="C820" s="23" t="s">
        <v>1553</v>
      </c>
      <c r="D820" s="24">
        <v>46301</v>
      </c>
      <c r="E820" s="25">
        <v>19</v>
      </c>
      <c r="F820" s="24">
        <v>46301</v>
      </c>
      <c r="G820" s="23" t="s">
        <v>605</v>
      </c>
      <c r="H820" s="26">
        <v>35</v>
      </c>
      <c r="I820" s="24">
        <f t="shared" si="43"/>
        <v>46336</v>
      </c>
      <c r="J820" s="26">
        <f t="shared" ca="1" si="45"/>
        <v>32</v>
      </c>
      <c r="K820" s="26" t="str">
        <f t="shared" ca="1" si="41"/>
        <v/>
      </c>
      <c r="L820" s="27"/>
      <c r="M820" s="26" t="str">
        <f ca="1">IF(L820&lt;&gt;"","Entregado",IF(NOT(ISNUMBER(IF(Q820&lt;&gt;"",Q820,I820))),"REVISAR TE",IF(AND(ISNUMBER(Resumen!$B$3),IF(Q820&lt;&gt;"",Q820,I820)&lt;Resumen!$B$3),"REVISAR",IF(IF(Q820&lt;&gt;"",Q820,I820)&lt;TODAY(),"ATRASADO",IF(IF(Q820&lt;&gt;"",Q820,I820)-TODAY()&lt;=2,"POR VENCER","EN TIEMPO")))))</f>
        <v>EN TIEMPO</v>
      </c>
      <c r="N820" s="23" t="s">
        <v>98</v>
      </c>
      <c r="P820" s="23" t="s">
        <v>1552</v>
      </c>
      <c r="Q820" s="28"/>
    </row>
    <row r="821" spans="1:17" ht="16.5" hidden="1" x14ac:dyDescent="0.3">
      <c r="A821" s="23" t="s">
        <v>1554</v>
      </c>
      <c r="B821" s="23" t="s">
        <v>52</v>
      </c>
      <c r="C821" s="23" t="s">
        <v>1555</v>
      </c>
      <c r="D821" s="24">
        <v>46301</v>
      </c>
      <c r="E821" s="25">
        <v>3</v>
      </c>
      <c r="F821" s="24">
        <v>46301</v>
      </c>
      <c r="G821" s="23"/>
      <c r="H821" s="26"/>
      <c r="I821" s="24" t="str">
        <f t="shared" si="43"/>
        <v/>
      </c>
      <c r="J821" s="26" t="e">
        <f t="shared" ca="1" si="45"/>
        <v>#VALUE!</v>
      </c>
      <c r="K821" s="26" t="str">
        <f t="shared" ca="1" si="41"/>
        <v/>
      </c>
      <c r="L821" s="27" t="s">
        <v>1567</v>
      </c>
      <c r="M821" s="26" t="str">
        <f ca="1">IF(L821&lt;&gt;"","Entregado",IF(NOT(ISNUMBER(IF(Q821&lt;&gt;"",Q821,I821))),"REVISAR TE",IF(AND(ISNUMBER(Resumen!$B$3),IF(Q821&lt;&gt;"",Q821,I821)&lt;Resumen!$B$3),"REVISAR",IF(IF(Q821&lt;&gt;"",Q821,I821)&lt;TODAY(),"ATRASADO",IF(IF(Q821&lt;&gt;"",Q821,I821)-TODAY()&lt;=2,"POR VENCER","EN TIEMPO")))))</f>
        <v>Entregado</v>
      </c>
      <c r="N821" s="23" t="s">
        <v>174</v>
      </c>
      <c r="P821" s="23" t="s">
        <v>1556</v>
      </c>
      <c r="Q821" s="28"/>
    </row>
    <row r="822" spans="1:17" ht="16.5" x14ac:dyDescent="0.3">
      <c r="A822" s="23" t="s">
        <v>1557</v>
      </c>
      <c r="B822" s="23" t="s">
        <v>52</v>
      </c>
      <c r="C822" s="23" t="s">
        <v>1558</v>
      </c>
      <c r="D822" s="24">
        <v>46301</v>
      </c>
      <c r="E822" s="25">
        <v>1</v>
      </c>
      <c r="F822" s="24">
        <v>46301</v>
      </c>
      <c r="G822" s="23" t="s">
        <v>411</v>
      </c>
      <c r="H822" s="26">
        <v>3</v>
      </c>
      <c r="I822" s="24">
        <f t="shared" si="43"/>
        <v>46304</v>
      </c>
      <c r="J822" s="26">
        <f t="shared" ref="J822:J829" ca="1" si="46">I822-TODAY()</f>
        <v>0</v>
      </c>
      <c r="K822" s="26" t="str">
        <f t="shared" ca="1" si="41"/>
        <v/>
      </c>
      <c r="L822" s="27"/>
      <c r="M822" s="26" t="str">
        <f ca="1">IF(L822&lt;&gt;"","Entregado",IF(NOT(ISNUMBER(IF(Q822&lt;&gt;"",Q822,I822))),"REVISAR TE",IF(AND(ISNUMBER(Resumen!$B$3),IF(Q822&lt;&gt;"",Q822,I822)&lt;Resumen!$B$3),"REVISAR",IF(IF(Q822&lt;&gt;"",Q822,I822)&lt;TODAY(),"ATRASADO",IF(IF(Q822&lt;&gt;"",Q822,I822)-TODAY()&lt;=2,"POR VENCER","EN TIEMPO")))))</f>
        <v>POR VENCER</v>
      </c>
      <c r="N822" s="23" t="s">
        <v>511</v>
      </c>
      <c r="P822" s="23" t="s">
        <v>1559</v>
      </c>
      <c r="Q822" s="28"/>
    </row>
    <row r="823" spans="1:17" ht="16.5" x14ac:dyDescent="0.3">
      <c r="A823" s="23" t="s">
        <v>1557</v>
      </c>
      <c r="B823" s="23" t="s">
        <v>52</v>
      </c>
      <c r="C823" s="23" t="s">
        <v>1560</v>
      </c>
      <c r="D823" s="24">
        <v>46301</v>
      </c>
      <c r="E823" s="25">
        <v>1</v>
      </c>
      <c r="F823" s="24">
        <v>46301</v>
      </c>
      <c r="G823" s="23" t="s">
        <v>411</v>
      </c>
      <c r="H823" s="26">
        <v>3</v>
      </c>
      <c r="I823" s="24">
        <f t="shared" si="43"/>
        <v>46304</v>
      </c>
      <c r="J823" s="26">
        <f t="shared" ca="1" si="46"/>
        <v>0</v>
      </c>
      <c r="K823" s="26" t="str">
        <f t="shared" ca="1" si="41"/>
        <v/>
      </c>
      <c r="L823" s="27"/>
      <c r="M823" s="26" t="str">
        <f ca="1">IF(L823&lt;&gt;"","Entregado",IF(NOT(ISNUMBER(IF(Q823&lt;&gt;"",Q823,I823))),"REVISAR TE",IF(AND(ISNUMBER(Resumen!$B$3),IF(Q823&lt;&gt;"",Q823,I823)&lt;Resumen!$B$3),"REVISAR",IF(IF(Q823&lt;&gt;"",Q823,I823)&lt;TODAY(),"ATRASADO",IF(IF(Q823&lt;&gt;"",Q823,I823)-TODAY()&lt;=2,"POR VENCER","EN TIEMPO")))))</f>
        <v>POR VENCER</v>
      </c>
      <c r="N823" s="23" t="s">
        <v>511</v>
      </c>
      <c r="P823" s="23" t="s">
        <v>1559</v>
      </c>
      <c r="Q823" s="28"/>
    </row>
    <row r="824" spans="1:17" ht="16.5" x14ac:dyDescent="0.3">
      <c r="A824" s="23" t="s">
        <v>1557</v>
      </c>
      <c r="B824" s="23" t="s">
        <v>52</v>
      </c>
      <c r="C824" s="23" t="s">
        <v>1561</v>
      </c>
      <c r="D824" s="24">
        <v>46301</v>
      </c>
      <c r="E824" s="25">
        <v>1</v>
      </c>
      <c r="F824" s="24">
        <v>46301</v>
      </c>
      <c r="G824" s="23" t="s">
        <v>411</v>
      </c>
      <c r="H824" s="26">
        <v>3</v>
      </c>
      <c r="I824" s="24">
        <f t="shared" si="43"/>
        <v>46304</v>
      </c>
      <c r="J824" s="26">
        <f t="shared" ca="1" si="46"/>
        <v>0</v>
      </c>
      <c r="K824" s="26" t="str">
        <f t="shared" ca="1" si="41"/>
        <v/>
      </c>
      <c r="L824" s="27"/>
      <c r="M824" s="26" t="str">
        <f ca="1">IF(L824&lt;&gt;"","Entregado",IF(NOT(ISNUMBER(IF(Q824&lt;&gt;"",Q824,I824))),"REVISAR TE",IF(AND(ISNUMBER(Resumen!$B$3),IF(Q824&lt;&gt;"",Q824,I824)&lt;Resumen!$B$3),"REVISAR",IF(IF(Q824&lt;&gt;"",Q824,I824)&lt;TODAY(),"ATRASADO",IF(IF(Q824&lt;&gt;"",Q824,I824)-TODAY()&lt;=2,"POR VENCER","EN TIEMPO")))))</f>
        <v>POR VENCER</v>
      </c>
      <c r="N824" s="23" t="s">
        <v>511</v>
      </c>
      <c r="P824" s="23" t="s">
        <v>1559</v>
      </c>
      <c r="Q824" s="28"/>
    </row>
    <row r="825" spans="1:17" ht="16.5" x14ac:dyDescent="0.3">
      <c r="A825" s="23" t="s">
        <v>1562</v>
      </c>
      <c r="B825" s="23" t="s">
        <v>59</v>
      </c>
      <c r="C825" s="23" t="s">
        <v>1564</v>
      </c>
      <c r="D825" s="24">
        <v>46302</v>
      </c>
      <c r="E825" s="25">
        <v>5</v>
      </c>
      <c r="F825" s="24">
        <v>46302</v>
      </c>
      <c r="G825" s="23" t="s">
        <v>1563</v>
      </c>
      <c r="H825" s="26">
        <v>8</v>
      </c>
      <c r="I825" s="24">
        <f t="shared" si="43"/>
        <v>46310</v>
      </c>
      <c r="J825" s="26">
        <f t="shared" ca="1" si="46"/>
        <v>6</v>
      </c>
      <c r="K825" s="26" t="str">
        <f t="shared" ca="1" si="41"/>
        <v/>
      </c>
      <c r="L825" s="27"/>
      <c r="M825" s="26" t="str">
        <f ca="1">IF(L825&lt;&gt;"","Entregado",IF(NOT(ISNUMBER(IF(Q825&lt;&gt;"",Q825,I825))),"REVISAR TE",IF(AND(ISNUMBER(Resumen!$B$3),IF(Q825&lt;&gt;"",Q825,I825)&lt;Resumen!$B$3),"REVISAR",IF(IF(Q825&lt;&gt;"",Q825,I825)&lt;TODAY(),"ATRASADO",IF(IF(Q825&lt;&gt;"",Q825,I825)-TODAY()&lt;=2,"POR VENCER","EN TIEMPO")))))</f>
        <v>EN TIEMPO</v>
      </c>
      <c r="N825" s="23" t="s">
        <v>94</v>
      </c>
      <c r="P825" s="23" t="s">
        <v>1565</v>
      </c>
      <c r="Q825" s="28"/>
    </row>
    <row r="826" spans="1:17" ht="16.5" x14ac:dyDescent="0.3">
      <c r="A826" s="23" t="s">
        <v>1562</v>
      </c>
      <c r="B826" s="23" t="s">
        <v>59</v>
      </c>
      <c r="C826" s="23" t="s">
        <v>1566</v>
      </c>
      <c r="D826" s="24">
        <v>46302</v>
      </c>
      <c r="E826" s="25">
        <v>10</v>
      </c>
      <c r="F826" s="24">
        <v>46302</v>
      </c>
      <c r="G826" s="23" t="s">
        <v>1563</v>
      </c>
      <c r="H826" s="26">
        <v>8</v>
      </c>
      <c r="I826" s="24">
        <f>IF(AND(D826&lt;&gt;"",H826&lt;&gt;""),D826+H826,"")</f>
        <v>46310</v>
      </c>
      <c r="J826" s="26">
        <f t="shared" ca="1" si="46"/>
        <v>6</v>
      </c>
      <c r="K826" s="26" t="str">
        <f t="shared" ca="1" si="41"/>
        <v/>
      </c>
      <c r="L826" s="27"/>
      <c r="M826" s="26" t="str">
        <f ca="1">IF(L826&lt;&gt;"","Entregado",IF(NOT(ISNUMBER(IF(Q826&lt;&gt;"",Q826,I826))),"REVISAR TE",IF(AND(ISNUMBER(Resumen!$B$3),IF(Q826&lt;&gt;"",Q826,I826)&lt;Resumen!$B$3),"REVISAR",IF(IF(Q826&lt;&gt;"",Q826,I826)&lt;TODAY(),"ATRASADO",IF(IF(Q826&lt;&gt;"",Q826,I826)-TODAY()&lt;=2,"POR VENCER","EN TIEMPO")))))</f>
        <v>EN TIEMPO</v>
      </c>
      <c r="N826" s="23" t="s">
        <v>388</v>
      </c>
      <c r="P826" s="23" t="s">
        <v>1565</v>
      </c>
      <c r="Q826" s="28"/>
    </row>
    <row r="827" spans="1:17" ht="16.5" x14ac:dyDescent="0.3">
      <c r="A827" s="23" t="s">
        <v>1572</v>
      </c>
      <c r="B827" s="23" t="s">
        <v>53</v>
      </c>
      <c r="C827" s="23" t="s">
        <v>1573</v>
      </c>
      <c r="D827" s="24">
        <v>46304</v>
      </c>
      <c r="E827" s="25">
        <v>5</v>
      </c>
      <c r="F827" s="24">
        <v>46304</v>
      </c>
      <c r="G827" s="23" t="s">
        <v>553</v>
      </c>
      <c r="H827" s="26">
        <v>28</v>
      </c>
      <c r="I827" s="24">
        <f>IF(AND(D827&lt;&gt;"",H827&lt;&gt;""),D827+H827,"")</f>
        <v>46332</v>
      </c>
      <c r="J827" s="26">
        <f t="shared" ca="1" si="46"/>
        <v>28</v>
      </c>
      <c r="K827" s="26"/>
      <c r="L827" s="27"/>
      <c r="M827" s="26" t="str">
        <f ca="1">IF(L827&lt;&gt;"","Entregado",IF(NOT(ISNUMBER(IF(Q827&lt;&gt;"",Q827,I827))),"REVISAR TE",IF(AND(ISNUMBER(Resumen!$B$3),IF(Q827&lt;&gt;"",Q827,I827)&lt;Resumen!$B$3),"REVISAR",IF(IF(Q827&lt;&gt;"",Q827,I827)&lt;TODAY(),"ATRASADO",IF(IF(Q827&lt;&gt;"",Q827,I827)-TODAY()&lt;=2,"POR VENCER","EN TIEMPO")))))</f>
        <v>EN TIEMPO</v>
      </c>
      <c r="N827" s="23" t="s">
        <v>899</v>
      </c>
      <c r="P827" s="23"/>
      <c r="Q827" s="28"/>
    </row>
    <row r="828" spans="1:17" ht="16.5" x14ac:dyDescent="0.3">
      <c r="A828" s="23" t="s">
        <v>1572</v>
      </c>
      <c r="B828" s="23" t="s">
        <v>53</v>
      </c>
      <c r="C828" s="23" t="s">
        <v>1574</v>
      </c>
      <c r="D828" s="24">
        <v>46304</v>
      </c>
      <c r="E828" s="25">
        <v>5</v>
      </c>
      <c r="F828" s="24">
        <v>46304</v>
      </c>
      <c r="G828" s="23" t="s">
        <v>553</v>
      </c>
      <c r="H828" s="26">
        <v>28</v>
      </c>
      <c r="I828" s="24">
        <f t="shared" ref="I827:I828" si="47">IF(AND(D828&lt;&gt;"",H828&lt;&gt;""),D828+H828,"")</f>
        <v>46332</v>
      </c>
      <c r="J828" s="26">
        <f t="shared" ca="1" si="46"/>
        <v>28</v>
      </c>
      <c r="K828" s="26"/>
      <c r="L828" s="27"/>
      <c r="M828" s="26" t="str">
        <f ca="1">IF(L828&lt;&gt;"","Entregado",IF(NOT(ISNUMBER(IF(Q828&lt;&gt;"",Q828,I828))),"REVISAR TE",IF(AND(ISNUMBER(Resumen!$B$3),IF(Q828&lt;&gt;"",Q828,I828)&lt;Resumen!$B$3),"REVISAR",IF(IF(Q828&lt;&gt;"",Q828,I828)&lt;TODAY(),"ATRASADO",IF(IF(Q828&lt;&gt;"",Q828,I828)-TODAY()&lt;=2,"POR VENCER","EN TIEMPO")))))</f>
        <v>EN TIEMPO</v>
      </c>
      <c r="N828" s="23" t="s">
        <v>899</v>
      </c>
      <c r="P828" s="23"/>
      <c r="Q828" s="28"/>
    </row>
    <row r="829" spans="1:17" ht="16.5" x14ac:dyDescent="0.3">
      <c r="A829" s="23"/>
      <c r="B829" s="23"/>
      <c r="C829" s="23"/>
      <c r="D829" s="24"/>
      <c r="E829" s="25"/>
      <c r="F829" s="24"/>
      <c r="G829" s="23"/>
      <c r="H829" s="26"/>
      <c r="I829" s="24"/>
      <c r="J829" s="26"/>
      <c r="K829" s="26"/>
      <c r="L829" s="27"/>
      <c r="M829" s="26"/>
      <c r="N829" s="23"/>
      <c r="P829" s="23"/>
      <c r="Q829" s="28"/>
    </row>
    <row r="830" spans="1:17" ht="16.5" x14ac:dyDescent="0.3">
      <c r="A830" s="23"/>
      <c r="B830" s="23"/>
      <c r="C830" s="23"/>
      <c r="D830" s="24"/>
      <c r="E830" s="25"/>
      <c r="F830" s="24"/>
      <c r="G830" s="23"/>
      <c r="H830" s="26"/>
      <c r="I830" s="24"/>
      <c r="J830" s="26"/>
      <c r="K830" s="26"/>
      <c r="L830" s="27"/>
      <c r="M830" s="26"/>
      <c r="N830" s="23"/>
      <c r="P830" s="23"/>
      <c r="Q830" s="28"/>
    </row>
    <row r="831" spans="1:17" ht="16.5" x14ac:dyDescent="0.3">
      <c r="A831" s="23"/>
      <c r="B831" s="23"/>
      <c r="C831" s="23"/>
      <c r="D831" s="24"/>
      <c r="E831" s="25"/>
      <c r="F831" s="24"/>
      <c r="G831" s="23"/>
      <c r="H831" s="26"/>
      <c r="I831" s="24"/>
      <c r="J831" s="26"/>
      <c r="K831" s="26"/>
      <c r="L831" s="27"/>
      <c r="M831" s="26"/>
      <c r="N831" s="23"/>
      <c r="P831" s="23"/>
      <c r="Q831" s="28"/>
    </row>
    <row r="832" spans="1:17" ht="16.5" x14ac:dyDescent="0.3">
      <c r="A832" s="23"/>
      <c r="B832" s="23"/>
      <c r="C832" s="23"/>
      <c r="D832" s="24"/>
      <c r="E832" s="25"/>
      <c r="F832" s="24"/>
      <c r="G832" s="23"/>
      <c r="H832" s="26"/>
      <c r="I832" s="24"/>
      <c r="J832" s="26"/>
      <c r="K832" s="26"/>
      <c r="L832" s="27"/>
      <c r="M832" s="26"/>
      <c r="N832" s="23"/>
      <c r="P832" s="23"/>
      <c r="Q832" s="28"/>
    </row>
    <row r="833" spans="1:17" ht="16.5" x14ac:dyDescent="0.3">
      <c r="A833" s="23"/>
      <c r="B833" s="23"/>
      <c r="C833" s="23"/>
      <c r="D833" s="24"/>
      <c r="E833" s="25"/>
      <c r="F833" s="24"/>
      <c r="G833" s="23"/>
      <c r="H833" s="26"/>
      <c r="I833" s="24"/>
      <c r="J833" s="26"/>
      <c r="K833" s="26"/>
      <c r="L833" s="27"/>
      <c r="M833" s="26"/>
      <c r="N833" s="23"/>
      <c r="P833" s="23"/>
      <c r="Q833" s="28"/>
    </row>
    <row r="834" spans="1:17" ht="16.5" x14ac:dyDescent="0.3">
      <c r="A834" s="23"/>
      <c r="B834" s="23"/>
      <c r="C834" s="23"/>
      <c r="D834" s="24"/>
      <c r="E834" s="25"/>
      <c r="F834" s="24"/>
      <c r="G834" s="23"/>
      <c r="H834" s="26"/>
      <c r="I834" s="24"/>
      <c r="J834" s="26"/>
      <c r="K834" s="26"/>
      <c r="L834" s="27"/>
      <c r="M834" s="26"/>
      <c r="N834" s="23"/>
      <c r="P834" s="23"/>
      <c r="Q834" s="28"/>
    </row>
    <row r="835" spans="1:17" ht="16.5" x14ac:dyDescent="0.3">
      <c r="A835" s="23"/>
      <c r="B835" s="23"/>
      <c r="C835" s="23"/>
      <c r="D835" s="24"/>
      <c r="E835" s="25"/>
      <c r="F835" s="24"/>
      <c r="G835" s="23"/>
      <c r="H835" s="26"/>
      <c r="I835" s="24"/>
      <c r="J835" s="26"/>
      <c r="K835" s="26"/>
      <c r="L835" s="27"/>
      <c r="M835" s="26"/>
      <c r="N835" s="23"/>
      <c r="P835" s="23"/>
      <c r="Q835" s="28"/>
    </row>
    <row r="836" spans="1:17" ht="16.5" x14ac:dyDescent="0.3">
      <c r="A836" s="23"/>
      <c r="B836" s="23"/>
      <c r="C836" s="23"/>
      <c r="D836" s="24"/>
      <c r="E836" s="25"/>
      <c r="F836" s="24"/>
      <c r="G836" s="23"/>
      <c r="H836" s="26"/>
      <c r="I836" s="24"/>
      <c r="J836" s="26"/>
      <c r="K836" s="26"/>
      <c r="L836" s="27"/>
      <c r="M836" s="26"/>
      <c r="N836" s="23"/>
      <c r="P836" s="23"/>
      <c r="Q836" s="28"/>
    </row>
    <row r="837" spans="1:17" ht="16.5" x14ac:dyDescent="0.3">
      <c r="A837" s="23"/>
      <c r="B837" s="23"/>
      <c r="C837" s="23"/>
      <c r="D837" s="24"/>
      <c r="E837" s="25"/>
      <c r="F837" s="24"/>
      <c r="G837" s="23"/>
      <c r="H837" s="26"/>
      <c r="I837" s="24"/>
      <c r="J837" s="26"/>
      <c r="K837" s="26"/>
      <c r="L837" s="27"/>
      <c r="M837" s="26"/>
      <c r="N837" s="23"/>
      <c r="P837" s="23"/>
      <c r="Q837" s="28"/>
    </row>
    <row r="838" spans="1:17" ht="16.5" x14ac:dyDescent="0.3">
      <c r="A838" s="23"/>
      <c r="B838" s="23"/>
      <c r="C838" s="23"/>
      <c r="D838" s="24"/>
      <c r="E838" s="25"/>
      <c r="F838" s="24"/>
      <c r="G838" s="23"/>
      <c r="H838" s="26"/>
      <c r="I838" s="24"/>
      <c r="J838" s="26"/>
      <c r="K838" s="26"/>
      <c r="L838" s="27"/>
      <c r="M838" s="26"/>
      <c r="N838" s="23"/>
      <c r="P838" s="23"/>
      <c r="Q838" s="28"/>
    </row>
    <row r="839" spans="1:17" ht="16.5" x14ac:dyDescent="0.3">
      <c r="A839" s="23"/>
      <c r="B839" s="23"/>
      <c r="C839" s="23"/>
      <c r="D839" s="24"/>
      <c r="E839" s="25"/>
      <c r="F839" s="24"/>
      <c r="G839" s="23"/>
      <c r="H839" s="26"/>
      <c r="I839" s="24"/>
      <c r="J839" s="26"/>
      <c r="K839" s="26"/>
      <c r="L839" s="27"/>
      <c r="M839" s="26"/>
      <c r="N839" s="23"/>
      <c r="P839" s="23"/>
      <c r="Q839" s="28"/>
    </row>
    <row r="840" spans="1:17" ht="16.5" x14ac:dyDescent="0.3">
      <c r="A840" s="23"/>
      <c r="B840" s="23"/>
      <c r="C840" s="23"/>
      <c r="D840" s="24"/>
      <c r="E840" s="25"/>
      <c r="F840" s="24"/>
      <c r="G840" s="23"/>
      <c r="H840" s="26"/>
      <c r="I840" s="24"/>
      <c r="J840" s="26"/>
      <c r="K840" s="26"/>
      <c r="L840" s="27"/>
      <c r="M840" s="26"/>
      <c r="N840" s="23"/>
      <c r="P840" s="23"/>
      <c r="Q840" s="28"/>
    </row>
    <row r="841" spans="1:17" ht="16.5" x14ac:dyDescent="0.3">
      <c r="A841" s="23"/>
      <c r="B841" s="23"/>
      <c r="C841" s="23"/>
      <c r="D841" s="24"/>
      <c r="E841" s="25"/>
      <c r="F841" s="24"/>
      <c r="G841" s="23"/>
      <c r="H841" s="26"/>
      <c r="I841" s="24"/>
      <c r="J841" s="26"/>
      <c r="K841" s="26"/>
      <c r="L841" s="27"/>
      <c r="M841" s="26"/>
      <c r="N841" s="23"/>
      <c r="P841" s="23"/>
      <c r="Q841" s="28"/>
    </row>
    <row r="842" spans="1:17" ht="16.5" x14ac:dyDescent="0.3">
      <c r="A842" s="23"/>
      <c r="B842" s="23"/>
      <c r="C842" s="23"/>
      <c r="D842" s="24"/>
      <c r="E842" s="25"/>
      <c r="F842" s="24"/>
      <c r="G842" s="23"/>
      <c r="H842" s="26"/>
      <c r="I842" s="24"/>
      <c r="J842" s="26"/>
      <c r="K842" s="26"/>
      <c r="L842" s="27"/>
      <c r="M842" s="26"/>
      <c r="N842" s="23"/>
      <c r="P842" s="23"/>
      <c r="Q842" s="28"/>
    </row>
    <row r="843" spans="1:17" ht="16.5" x14ac:dyDescent="0.3">
      <c r="A843" s="23"/>
      <c r="B843" s="23"/>
      <c r="C843" s="23"/>
      <c r="D843" s="24"/>
      <c r="E843" s="25"/>
      <c r="F843" s="24"/>
      <c r="G843" s="23"/>
      <c r="H843" s="26"/>
      <c r="I843" s="24"/>
      <c r="J843" s="26"/>
      <c r="K843" s="26"/>
      <c r="L843" s="27"/>
      <c r="M843" s="26"/>
      <c r="N843" s="23"/>
      <c r="P843" s="23"/>
      <c r="Q843" s="28"/>
    </row>
    <row r="844" spans="1:17" ht="16.5" x14ac:dyDescent="0.3">
      <c r="A844" s="23"/>
      <c r="B844" s="23"/>
      <c r="C844" s="23"/>
      <c r="D844" s="24"/>
      <c r="E844" s="25"/>
      <c r="F844" s="24"/>
      <c r="G844" s="23"/>
      <c r="H844" s="26"/>
      <c r="I844" s="24"/>
      <c r="J844" s="26"/>
      <c r="K844" s="26"/>
      <c r="L844" s="27"/>
      <c r="M844" s="26"/>
      <c r="N844" s="23"/>
      <c r="P844" s="23"/>
      <c r="Q844" s="28"/>
    </row>
    <row r="845" spans="1:17" ht="16.5" x14ac:dyDescent="0.3">
      <c r="A845" s="23"/>
      <c r="B845" s="23"/>
      <c r="C845" s="23"/>
      <c r="D845" s="24"/>
      <c r="E845" s="25"/>
      <c r="F845" s="24"/>
      <c r="G845" s="23"/>
      <c r="H845" s="26"/>
      <c r="I845" s="24"/>
      <c r="J845" s="26"/>
      <c r="K845" s="26"/>
      <c r="L845" s="27"/>
      <c r="M845" s="26"/>
      <c r="N845" s="23"/>
      <c r="P845" s="23"/>
      <c r="Q845" s="28"/>
    </row>
    <row r="846" spans="1:17" ht="16.5" x14ac:dyDescent="0.3">
      <c r="A846" s="23"/>
      <c r="B846" s="23"/>
      <c r="C846" s="23"/>
      <c r="D846" s="24"/>
      <c r="E846" s="25"/>
      <c r="F846" s="24"/>
      <c r="G846" s="23"/>
      <c r="H846" s="26"/>
      <c r="I846" s="24"/>
      <c r="J846" s="26"/>
      <c r="K846" s="26"/>
      <c r="L846" s="27"/>
      <c r="M846" s="26"/>
      <c r="N846" s="23"/>
      <c r="P846" s="23"/>
      <c r="Q846" s="28"/>
    </row>
    <row r="847" spans="1:17" ht="16.5" x14ac:dyDescent="0.3">
      <c r="A847" s="23"/>
      <c r="B847" s="23"/>
      <c r="C847" s="23"/>
      <c r="D847" s="24"/>
      <c r="E847" s="25"/>
      <c r="F847" s="24"/>
      <c r="G847" s="23"/>
      <c r="H847" s="26"/>
      <c r="I847" s="24"/>
      <c r="J847" s="26"/>
      <c r="K847" s="26"/>
      <c r="L847" s="27"/>
      <c r="M847" s="26"/>
      <c r="N847" s="23"/>
      <c r="P847" s="23"/>
      <c r="Q847" s="28"/>
    </row>
    <row r="848" spans="1:17" ht="16.5" x14ac:dyDescent="0.3">
      <c r="A848" s="23"/>
      <c r="B848" s="23"/>
      <c r="C848" s="23"/>
      <c r="D848" s="24"/>
      <c r="E848" s="25"/>
      <c r="F848" s="24"/>
      <c r="G848" s="23"/>
      <c r="H848" s="26"/>
      <c r="I848" s="24"/>
      <c r="J848" s="26"/>
      <c r="K848" s="26"/>
      <c r="L848" s="27"/>
      <c r="M848" s="26"/>
      <c r="N848" s="23"/>
      <c r="P848" s="23"/>
      <c r="Q848" s="28"/>
    </row>
    <row r="849" spans="1:17" ht="16.5" x14ac:dyDescent="0.3">
      <c r="A849" s="23"/>
      <c r="B849" s="23"/>
      <c r="C849" s="23"/>
      <c r="D849" s="24"/>
      <c r="E849" s="25"/>
      <c r="F849" s="24"/>
      <c r="G849" s="23"/>
      <c r="H849" s="26"/>
      <c r="I849" s="24"/>
      <c r="J849" s="26"/>
      <c r="K849" s="26"/>
      <c r="L849" s="27"/>
      <c r="M849" s="26"/>
      <c r="N849" s="23"/>
      <c r="P849" s="23"/>
      <c r="Q849" s="28"/>
    </row>
    <row r="850" spans="1:17" ht="16.5" x14ac:dyDescent="0.3">
      <c r="A850" s="23"/>
      <c r="B850" s="23"/>
      <c r="C850" s="23"/>
      <c r="D850" s="24"/>
      <c r="E850" s="25"/>
      <c r="F850" s="24"/>
      <c r="G850" s="23"/>
      <c r="H850" s="26"/>
      <c r="I850" s="24"/>
      <c r="J850" s="26"/>
      <c r="K850" s="26"/>
      <c r="L850" s="27"/>
      <c r="M850" s="26"/>
      <c r="N850" s="23"/>
      <c r="P850" s="23"/>
      <c r="Q850" s="28"/>
    </row>
    <row r="851" spans="1:17" ht="16.5" x14ac:dyDescent="0.3">
      <c r="A851" s="23"/>
      <c r="B851" s="23"/>
      <c r="C851" s="23"/>
      <c r="D851" s="24"/>
      <c r="E851" s="25"/>
      <c r="F851" s="24"/>
      <c r="G851" s="23"/>
      <c r="H851" s="26"/>
      <c r="I851" s="24"/>
      <c r="J851" s="26"/>
      <c r="K851" s="26"/>
      <c r="L851" s="27"/>
      <c r="M851" s="26"/>
      <c r="N851" s="23"/>
      <c r="P851" s="23"/>
      <c r="Q851" s="28"/>
    </row>
    <row r="852" spans="1:17" ht="16.5" x14ac:dyDescent="0.3">
      <c r="A852" s="23"/>
      <c r="B852" s="23"/>
      <c r="C852" s="23"/>
      <c r="D852" s="24"/>
      <c r="E852" s="25"/>
      <c r="F852" s="24"/>
      <c r="G852" s="23"/>
      <c r="H852" s="26"/>
      <c r="I852" s="24"/>
      <c r="J852" s="26"/>
      <c r="K852" s="26"/>
      <c r="L852" s="27"/>
      <c r="M852" s="26"/>
      <c r="N852" s="23"/>
      <c r="P852" s="23"/>
      <c r="Q852" s="28"/>
    </row>
    <row r="853" spans="1:17" ht="16.5" x14ac:dyDescent="0.3">
      <c r="A853" s="23"/>
      <c r="B853" s="23"/>
      <c r="C853" s="23"/>
      <c r="D853" s="24"/>
      <c r="E853" s="25"/>
      <c r="F853" s="24"/>
      <c r="G853" s="23"/>
      <c r="H853" s="26"/>
      <c r="I853" s="24"/>
      <c r="J853" s="26"/>
      <c r="K853" s="26"/>
      <c r="L853" s="27"/>
      <c r="M853" s="26"/>
      <c r="N853" s="23"/>
      <c r="P853" s="23"/>
      <c r="Q853" s="28"/>
    </row>
    <row r="854" spans="1:17" ht="16.5" x14ac:dyDescent="0.3">
      <c r="A854" s="23"/>
      <c r="B854" s="23"/>
      <c r="C854" s="23"/>
      <c r="D854" s="24"/>
      <c r="E854" s="25"/>
      <c r="F854" s="24"/>
      <c r="G854" s="23"/>
      <c r="H854" s="26"/>
      <c r="I854" s="24"/>
      <c r="J854" s="26"/>
      <c r="K854" s="26"/>
      <c r="L854" s="27"/>
      <c r="M854" s="26"/>
      <c r="N854" s="23"/>
      <c r="P854" s="23"/>
      <c r="Q854" s="28"/>
    </row>
    <row r="855" spans="1:17" ht="16.5" x14ac:dyDescent="0.3">
      <c r="A855" s="23"/>
      <c r="B855" s="23"/>
      <c r="C855" s="23"/>
      <c r="D855" s="24"/>
      <c r="E855" s="25"/>
      <c r="F855" s="24"/>
      <c r="G855" s="23"/>
      <c r="H855" s="26"/>
      <c r="I855" s="24"/>
      <c r="J855" s="26"/>
      <c r="K855" s="26"/>
      <c r="L855" s="27"/>
      <c r="M855" s="26"/>
      <c r="N855" s="23"/>
      <c r="P855" s="23"/>
      <c r="Q855" s="28"/>
    </row>
    <row r="856" spans="1:17" ht="16.5" x14ac:dyDescent="0.3">
      <c r="A856" s="23"/>
      <c r="B856" s="23"/>
      <c r="C856" s="23"/>
      <c r="D856" s="24"/>
      <c r="E856" s="25"/>
      <c r="F856" s="24"/>
      <c r="G856" s="23"/>
      <c r="H856" s="26"/>
      <c r="I856" s="24"/>
      <c r="J856" s="26"/>
      <c r="K856" s="26"/>
      <c r="L856" s="27"/>
      <c r="M856" s="26"/>
      <c r="N856" s="23"/>
      <c r="P856" s="23"/>
      <c r="Q856" s="28"/>
    </row>
    <row r="857" spans="1:17" ht="16.5" x14ac:dyDescent="0.3">
      <c r="A857" s="23"/>
      <c r="B857" s="23"/>
      <c r="C857" s="23"/>
      <c r="D857" s="24"/>
      <c r="E857" s="25"/>
      <c r="F857" s="24"/>
      <c r="G857" s="23"/>
      <c r="H857" s="26"/>
      <c r="I857" s="24"/>
      <c r="J857" s="26"/>
      <c r="K857" s="26"/>
      <c r="L857" s="27"/>
      <c r="M857" s="26"/>
      <c r="N857" s="23"/>
      <c r="P857" s="23"/>
      <c r="Q857" s="28"/>
    </row>
    <row r="858" spans="1:17" ht="16.5" x14ac:dyDescent="0.3">
      <c r="A858" s="23"/>
      <c r="B858" s="23"/>
      <c r="C858" s="23"/>
      <c r="D858" s="24"/>
      <c r="E858" s="25"/>
      <c r="F858" s="24"/>
      <c r="G858" s="23"/>
      <c r="H858" s="26"/>
      <c r="I858" s="24"/>
      <c r="J858" s="26"/>
      <c r="K858" s="26"/>
      <c r="L858" s="27"/>
      <c r="M858" s="26"/>
      <c r="N858" s="23"/>
      <c r="P858" s="23"/>
      <c r="Q858" s="28"/>
    </row>
    <row r="859" spans="1:17" ht="16.5" x14ac:dyDescent="0.3">
      <c r="A859" s="23"/>
      <c r="B859" s="23"/>
      <c r="C859" s="23"/>
      <c r="D859" s="24"/>
      <c r="E859" s="25"/>
      <c r="F859" s="24"/>
      <c r="G859" s="23"/>
      <c r="H859" s="26"/>
      <c r="I859" s="24"/>
      <c r="J859" s="26"/>
      <c r="K859" s="26"/>
      <c r="L859" s="27"/>
      <c r="M859" s="26"/>
      <c r="N859" s="23"/>
      <c r="P859" s="23"/>
      <c r="Q859" s="28"/>
    </row>
    <row r="860" spans="1:17" ht="16.5" x14ac:dyDescent="0.3">
      <c r="A860" s="23"/>
      <c r="B860" s="23"/>
      <c r="C860" s="23"/>
      <c r="D860" s="24"/>
      <c r="E860" s="25"/>
      <c r="F860" s="24"/>
      <c r="G860" s="23"/>
      <c r="H860" s="26"/>
      <c r="I860" s="24"/>
      <c r="J860" s="26"/>
      <c r="K860" s="26"/>
      <c r="L860" s="27"/>
      <c r="M860" s="26"/>
      <c r="N860" s="23"/>
      <c r="P860" s="23"/>
      <c r="Q860" s="28"/>
    </row>
    <row r="861" spans="1:17" ht="16.5" x14ac:dyDescent="0.3">
      <c r="A861" s="23"/>
      <c r="B861" s="23"/>
      <c r="C861" s="23"/>
      <c r="D861" s="24"/>
      <c r="E861" s="25"/>
      <c r="F861" s="24"/>
      <c r="G861" s="23"/>
      <c r="H861" s="26"/>
      <c r="I861" s="24"/>
      <c r="J861" s="26"/>
      <c r="K861" s="26"/>
      <c r="L861" s="27"/>
      <c r="M861" s="26"/>
      <c r="N861" s="23"/>
      <c r="P861" s="23"/>
      <c r="Q861" s="28"/>
    </row>
    <row r="862" spans="1:17" ht="16.5" x14ac:dyDescent="0.3">
      <c r="A862" s="23"/>
      <c r="B862" s="23"/>
      <c r="C862" s="23"/>
      <c r="D862" s="24"/>
      <c r="E862" s="25"/>
      <c r="F862" s="24"/>
      <c r="G862" s="23"/>
      <c r="H862" s="26"/>
      <c r="I862" s="24"/>
      <c r="J862" s="26"/>
      <c r="K862" s="26"/>
      <c r="L862" s="27"/>
      <c r="M862" s="26"/>
      <c r="N862" s="23"/>
      <c r="P862" s="23"/>
      <c r="Q862" s="28"/>
    </row>
    <row r="863" spans="1:17" ht="16.5" x14ac:dyDescent="0.3">
      <c r="A863" s="23"/>
      <c r="B863" s="23"/>
      <c r="C863" s="23"/>
      <c r="D863" s="24"/>
      <c r="E863" s="25"/>
      <c r="F863" s="24"/>
      <c r="G863" s="23"/>
      <c r="H863" s="26"/>
      <c r="I863" s="24"/>
      <c r="J863" s="26"/>
      <c r="K863" s="26"/>
      <c r="L863" s="27"/>
      <c r="M863" s="26"/>
      <c r="N863" s="23"/>
      <c r="P863" s="23"/>
      <c r="Q863" s="28"/>
    </row>
  </sheetData>
  <autoFilter ref="A1:P828" xr:uid="{00000000-0009-0000-0000-000001000000}">
    <filterColumn colId="12">
      <filters>
        <filter val="ATRASADO"/>
        <filter val="EN TIEMPO"/>
        <filter val="POR VENCER"/>
      </filters>
    </filterColumn>
  </autoFilter>
  <sortState xmlns:xlrd2="http://schemas.microsoft.com/office/spreadsheetml/2017/richdata2" ref="A521:N791">
    <sortCondition ref="A1:A826"/>
  </sortState>
  <phoneticPr fontId="11" type="noConversion"/>
  <conditionalFormatting sqref="K2:K863">
    <cfRule type="expression" dxfId="6" priority="9">
      <formula>AND(ISNUMBER($K2),$K2&gt;0)</formula>
    </cfRule>
  </conditionalFormatting>
  <conditionalFormatting sqref="M2:M863">
    <cfRule type="expression" dxfId="5" priority="2">
      <formula>$M2="ATRASADO"</formula>
    </cfRule>
    <cfRule type="expression" dxfId="4" priority="3">
      <formula>$M2="POR VENCER"</formula>
    </cfRule>
    <cfRule type="expression" dxfId="3" priority="4">
      <formula>$M2="EN TIEMPO"</formula>
    </cfRule>
    <cfRule type="expression" dxfId="2" priority="5">
      <formula>$M2="REVISAR"</formula>
    </cfRule>
    <cfRule type="expression" dxfId="1" priority="6">
      <formula>$M2="REVISAR TE"</formula>
    </cfRule>
    <cfRule type="expression" dxfId="0" priority="7">
      <formula>$M2="Entregado"</formula>
    </cfRule>
  </conditionalFormatting>
  <dataValidations count="2">
    <dataValidation type="date" operator="greaterThan" allowBlank="1" showInputMessage="1" errorTitle="Fecha" error="Escribe una fecha válida, ej. 15/10/2026" promptTitle="Reprogramación" prompt="Escribe la nueva fecha (dd/mm/aaaa) solo si se mueve la entrega." sqref="Q2:Q826" xr:uid="{00000000-0002-0000-0100-000000000000}">
      <formula1>43831</formula1>
      <formula2>0</formula2>
    </dataValidation>
    <dataValidation type="custom" allowBlank="1" showInputMessage="1" promptTitle="Entregado" prompt="Escribe cualquier carácter (ej. x) y se mostrará ✔. Bórralo para quitar la marca." sqref="L2:L826" xr:uid="{00000000-0002-0000-0100-000001000000}">
      <formula1>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Lista PV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SEMAIN SERVICIOS Y MAQUINADOS INDUSTRIALES</cp:lastModifiedBy>
  <cp:revision>1</cp:revision>
  <dcterms:created xsi:type="dcterms:W3CDTF">2026-10-08T21:51:56Z</dcterms:created>
  <dcterms:modified xsi:type="dcterms:W3CDTF">2026-10-09T22:17:21Z</dcterms:modified>
  <dc:language>en-US</dc:language>
</cp:coreProperties>
</file>